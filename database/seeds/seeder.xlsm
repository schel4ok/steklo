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<sst xmlns="http://schemas.openxmlformats.org/spreadsheetml/2006/main" count="10899" uniqueCount="3655">
  <si>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</si>
  <si>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</si>
  <si>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</si>
  <si>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</si>
  <si>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</si>
  <si>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</si>
  <si>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</si>
  <si>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</si>
  <si>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</si>
  <si>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</si>
  <si>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</si>
  <si>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</si>
  <si>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</si>
  <si>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</si>
  <si>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</si>
  <si>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</si>
  <si>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</si>
  <si>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</si>
  <si>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</si>
  <si>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</si>
  <si>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</si>
  <si>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</si>
  <si>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</si>
  <si>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</si>
  <si>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</si>
  <si>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</si>
  <si>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</si>
  <si>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</si>
  <si>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</si>
  <si>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</si>
  <si>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</si>
  <si>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</si>
  <si>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</si>
  <si>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</si>
  <si>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</si>
  <si>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</si>
  <si>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</si>
  <si>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</si>
  <si>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</si>
  <si>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</si>
  <si>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</si>
  <si>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</si>
  <si>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</si>
  <si>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</si>
  <si>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</si>
  <si>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</si>
  <si>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</si>
  <si>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</si>
  <si>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</si>
  <si>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</si>
  <si>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</si>
  <si>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</si>
  <si>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</si>
  <si>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</si>
  <si>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</si>
  <si>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</si>
  <si>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</si>
  <si>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</si>
  <si>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</si>
  <si>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</si>
  <si>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</si>
  <si>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</si>
  <si>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</si>
  <si>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</si>
  <si>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</si>
  <si>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</si>
  <si>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</si>
  <si>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</si>
  <si>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</si>
  <si>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</si>
  <si>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</si>
  <si>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</si>
  <si>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</si>
  <si>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</si>
  <si>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</si>
  <si>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</si>
  <si>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</si>
  <si>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</si>
  <si>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</si>
  <si>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</si>
  <si>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</si>
  <si>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</si>
  <si>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</si>
  <si>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</si>
  <si>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</si>
  <si>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</si>
  <si>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</si>
  <si>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</si>
  <si>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</si>
  <si>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</si>
  <si>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</si>
  <si>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</si>
  <si>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</si>
  <si>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</si>
  <si>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</si>
  <si>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</si>
  <si>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</si>
  <si>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</si>
  <si>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</si>
  <si>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</si>
  <si>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</si>
  <si>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</si>
  <si>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</si>
  <si>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</si>
  <si>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</si>
  <si>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</si>
  <si>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</si>
  <si>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</si>
  <si>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</si>
  <si>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</si>
  <si>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</si>
  <si>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</si>
  <si>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</si>
  <si>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</si>
  <si>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</si>
  <si>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</si>
  <si>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</si>
  <si>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</si>
  <si>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</si>
  <si>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</si>
  <si>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</si>
  <si>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</si>
  <si>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</si>
  <si>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</si>
  <si>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</si>
  <si>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</si>
  <si>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</si>
  <si>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</si>
  <si>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</si>
  <si>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</si>
  <si>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</si>
  <si>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</si>
  <si>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</si>
  <si>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</si>
  <si>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</si>
  <si>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</si>
  <si>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</si>
  <si>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</si>
  <si>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</si>
  <si>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</si>
  <si>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</si>
  <si>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</si>
  <si>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</si>
  <si>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</si>
  <si>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</si>
  <si>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</si>
  <si>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</si>
  <si>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</si>
  <si>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</si>
  <si>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</si>
  <si>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</si>
  <si>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</si>
  <si>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</si>
  <si>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</si>
  <si>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</si>
  <si>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</si>
  <si>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</si>
  <si>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</si>
  <si>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</si>
  <si>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</si>
  <si>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</si>
  <si>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</si>
  <si>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</si>
  <si>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</si>
  <si>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</si>
  <si>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</si>
  <si>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</si>
  <si>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</si>
  <si>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</si>
  <si>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</si>
  <si>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</si>
  <si>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</si>
  <si>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</si>
  <si>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</si>
  <si>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</si>
  <si>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</si>
  <si>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</si>
  <si>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</si>
  <si>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</si>
  <si>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</si>
  <si>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</si>
  <si>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</si>
  <si>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</si>
  <si>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</si>
  <si>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</si>
  <si>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</si>
  <si>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</si>
  <si>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</si>
  <si>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</si>
  <si>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</si>
  <si>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</si>
  <si>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</si>
  <si>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</si>
  <si>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</si>
  <si>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</si>
  <si>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</si>
  <si>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</si>
  <si>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</si>
  <si>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</si>
  <si>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</si>
  <si>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</si>
  <si>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</si>
  <si>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</si>
  <si>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</si>
  <si>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</si>
  <si>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</si>
  <si>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</si>
  <si>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</si>
  <si>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</si>
  <si>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</si>
  <si>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</si>
  <si>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</si>
  <si>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</si>
  <si>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</si>
  <si>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</si>
  <si>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</si>
  <si>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</si>
  <si>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</si>
  <si>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</si>
  <si>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</si>
  <si>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</si>
  <si>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</si>
  <si>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</si>
  <si>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</si>
  <si>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</si>
  <si>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</si>
  <si>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</si>
  <si>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</si>
  <si>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</si>
  <si>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</si>
  <si>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</si>
  <si>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</si>
  <si>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</si>
  <si>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</si>
  <si>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</si>
  <si>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</si>
  <si>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</si>
  <si>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</si>
  <si>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</si>
  <si>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</si>
  <si>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</si>
  <si>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</si>
  <si>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</si>
  <si>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</si>
  <si>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</si>
  <si>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</si>
  <si>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</si>
  <si>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</si>
  <si>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</si>
  <si>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</si>
  <si>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</si>
  <si>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</si>
  <si>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</si>
  <si>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</si>
  <si>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</si>
  <si>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</si>
  <si>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</si>
  <si>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</si>
  <si>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</si>
  <si>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</si>
  <si>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</si>
  <si>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</si>
  <si>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</si>
  <si>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</si>
  <si>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</si>
  <si>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</si>
  <si>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</si>
  <si>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</si>
  <si>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</si>
  <si>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</si>
  <si>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</si>
  <si>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</si>
  <si>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</si>
  <si>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</si>
  <si>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</si>
  <si>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</si>
  <si>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</si>
  <si>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</si>
  <si>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</si>
  <si>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</si>
  <si>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</si>
  <si>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</si>
  <si>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</si>
  <si>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</si>
  <si>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</si>
  <si>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</si>
  <si>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</si>
  <si>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</si>
  <si>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</si>
  <si>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</si>
  <si>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</si>
  <si>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</si>
  <si>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</si>
  <si>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</si>
  <si>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</si>
  <si>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</si>
  <si>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</si>
  <si>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</si>
  <si>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</si>
  <si>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</si>
  <si>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</si>
  <si>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</si>
  <si>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</si>
  <si>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</si>
  <si>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</si>
  <si>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</si>
  <si>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</si>
  <si>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</si>
  <si>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</si>
  <si>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</si>
  <si>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</si>
  <si>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</si>
  <si>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</si>
  <si>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</si>
  <si>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</si>
  <si>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</si>
  <si>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</si>
  <si>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</si>
  <si>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</si>
  <si>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</si>
  <si>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</si>
  <si>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</si>
  <si>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</si>
  <si>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</si>
  <si>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</si>
  <si>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</si>
  <si>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</si>
  <si>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</si>
  <si>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</si>
  <si>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</si>
  <si>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</si>
  <si>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</si>
  <si>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</si>
  <si>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</si>
  <si>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</si>
  <si>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</si>
  <si>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</si>
  <si>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</si>
  <si>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</si>
  <si>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</si>
  <si>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</si>
  <si>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</si>
  <si>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</si>
  <si>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</si>
  <si>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</si>
  <si>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</si>
  <si>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</si>
  <si>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</si>
  <si>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</si>
  <si>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</si>
  <si>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</si>
  <si>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</si>
  <si>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</si>
  <si>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</si>
  <si>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</si>
  <si>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</si>
  <si>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</si>
  <si>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</si>
  <si>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</si>
  <si>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</si>
  <si>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</si>
  <si>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</si>
  <si>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</si>
  <si>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</si>
  <si>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</si>
  <si>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</si>
  <si>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</si>
  <si>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</si>
  <si>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</si>
  <si>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</si>
  <si>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</si>
  <si>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</si>
  <si>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</si>
  <si>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</si>
  <si>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</si>
  <si>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</si>
  <si>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</si>
  <si>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</si>
  <si>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</si>
  <si>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</si>
  <si>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</si>
  <si>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</si>
  <si>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</si>
  <si>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</si>
  <si>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</si>
  <si>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</si>
  <si>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</si>
  <si>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</si>
  <si>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</si>
  <si>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</si>
  <si>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</si>
  <si>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</si>
  <si>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</si>
  <si>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</si>
  <si>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</si>
  <si>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</si>
  <si>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</si>
  <si>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</si>
  <si>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</si>
  <si>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</si>
  <si>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</si>
  <si>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</si>
  <si>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</si>
  <si>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</si>
  <si>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</si>
  <si>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</si>
  <si>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</si>
  <si>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</si>
  <si>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</si>
  <si>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</si>
  <si>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</si>
  <si>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</si>
  <si>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</si>
  <si>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</si>
  <si>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</si>
  <si>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</si>
  <si>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</si>
  <si>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</si>
  <si>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</si>
  <si>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</si>
  <si>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</si>
  <si>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</si>
  <si>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</si>
  <si>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</si>
  <si>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</si>
  <si>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</si>
  <si>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</si>
  <si>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</si>
  <si>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</si>
  <si>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</si>
  <si>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</si>
  <si>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</si>
  <si>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</si>
  <si>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</si>
  <si>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</si>
  <si>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</si>
  <si>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</si>
  <si>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</si>
  <si>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</si>
  <si>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</si>
  <si>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</si>
  <si>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</si>
  <si>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</si>
  <si>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</si>
  <si>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</si>
  <si>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</si>
  <si>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</si>
  <si>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</si>
  <si>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</si>
  <si>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</si>
  <si>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</si>
  <si>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</si>
  <si>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</si>
  <si>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</si>
  <si>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</si>
  <si>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</si>
  <si>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</si>
  <si>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</si>
  <si>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</si>
  <si>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</si>
  <si>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</si>
  <si>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</si>
  <si>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</si>
  <si>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</si>
  <si>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</si>
  <si>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</si>
  <si>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</si>
  <si>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</si>
  <si>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</si>
  <si>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</si>
  <si>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</si>
  <si>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</si>
  <si>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</si>
  <si>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</si>
  <si>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</si>
  <si>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</si>
  <si>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</si>
  <si>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</si>
  <si>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</si>
  <si>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</si>
  <si>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</si>
  <si>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</si>
  <si>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</si>
  <si>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</si>
  <si>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</si>
  <si>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</si>
  <si>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</si>
  <si>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</si>
  <si>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</si>
  <si>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</si>
  <si>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</si>
  <si>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</si>
  <si>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</si>
  <si>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</si>
  <si>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</si>
  <si>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</si>
  <si>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</si>
  <si>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</si>
  <si>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</si>
  <si>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</si>
  <si>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</si>
  <si>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</si>
  <si>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</si>
  <si>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</si>
  <si>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</si>
  <si>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</si>
  <si>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</si>
  <si>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</si>
  <si>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</si>
  <si>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</si>
  <si>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</si>
  <si>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</si>
  <si>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</si>
  <si>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</si>
  <si>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</si>
  <si>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</si>
  <si>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</si>
  <si>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</si>
  <si>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</si>
  <si>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</si>
  <si>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</si>
  <si>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</si>
  <si>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</si>
  <si>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</si>
  <si>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</si>
  <si>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</si>
  <si>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</si>
  <si>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</si>
  <si>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</si>
  <si>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</si>
  <si>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</si>
  <si>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</si>
  <si>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</si>
  <si>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</si>
  <si>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</si>
  <si>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</si>
  <si>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</si>
  <si>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</si>
  <si>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</si>
  <si>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</si>
  <si>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</si>
  <si>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</si>
  <si>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</si>
  <si>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</si>
  <si>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</si>
  <si>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</si>
  <si>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</si>
  <si>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</si>
  <si>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</si>
  <si>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</si>
  <si>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</si>
  <si>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</si>
  <si>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</si>
  <si>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</si>
  <si>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</si>
  <si>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</si>
  <si>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</si>
  <si>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</si>
  <si>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</si>
  <si>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</si>
  <si>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</si>
  <si>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</si>
  <si>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</si>
  <si>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</si>
  <si>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</si>
  <si>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</si>
  <si>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</si>
  <si>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</si>
  <si>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</si>
  <si>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</si>
  <si>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</si>
  <si>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</si>
  <si>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</si>
  <si>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</si>
  <si>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</si>
  <si>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</si>
  <si>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</si>
  <si>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</si>
  <si>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</si>
  <si>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</si>
  <si>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</si>
  <si>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</si>
  <si>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</si>
  <si>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</si>
  <si>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</si>
  <si>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</si>
  <si>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</si>
  <si>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</si>
  <si>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</si>
  <si>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</si>
  <si>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</si>
  <si>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</si>
  <si>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</si>
  <si>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</si>
  <si>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</si>
  <si>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</si>
  <si>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</si>
  <si>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</si>
  <si>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</si>
  <si>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</si>
  <si>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</si>
  <si>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</si>
  <si>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</si>
  <si>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</si>
  <si>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</si>
  <si>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</si>
  <si>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</si>
  <si>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</si>
  <si>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</si>
  <si>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</si>
  <si>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</si>
  <si>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</si>
  <si>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</si>
  <si>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</si>
  <si>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</si>
  <si>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</si>
  <si>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</si>
  <si>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</si>
  <si>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</si>
  <si>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</si>
  <si>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</si>
  <si>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</si>
  <si>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</si>
  <si>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</si>
  <si>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</si>
  <si>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</si>
  <si>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</si>
  <si>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</si>
  <si>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</si>
  <si>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</si>
  <si>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</si>
  <si>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</si>
  <si>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</si>
  <si>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</si>
  <si>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</si>
  <si>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</si>
  <si>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</si>
  <si>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</si>
  <si>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</si>
  <si>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</si>
  <si>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</si>
  <si>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</si>
  <si>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</si>
  <si>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</si>
  <si>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</si>
  <si>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</si>
  <si>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</si>
  <si>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</si>
  <si>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</si>
  <si>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</si>
  <si>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</si>
  <si>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</si>
  <si>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</si>
  <si>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</si>
  <si>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</si>
  <si>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</si>
  <si>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</si>
  <si>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</si>
  <si>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</si>
  <si>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</si>
  <si>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</si>
  <si>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</si>
  <si>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</si>
  <si>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</si>
  <si>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</si>
  <si>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</si>
  <si>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</si>
  <si>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</si>
  <si>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</si>
  <si>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</si>
  <si>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</si>
  <si>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</si>
  <si>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</si>
  <si>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</si>
  <si>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</si>
  <si>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</si>
  <si>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</si>
  <si>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</si>
  <si>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</si>
  <si>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</si>
  <si>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</si>
  <si>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</si>
  <si>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</si>
  <si>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</si>
  <si>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</si>
  <si>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</si>
  <si>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</si>
  <si>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</si>
  <si>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</si>
  <si>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</si>
  <si>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</si>
  <si>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</si>
  <si>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</si>
  <si>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</si>
  <si>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</si>
  <si>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</si>
  <si>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</si>
  <si>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</si>
  <si>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</si>
  <si>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</si>
  <si>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</si>
  <si>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</si>
  <si>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</si>
  <si>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</si>
  <si>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</si>
  <si>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</si>
  <si>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</si>
  <si>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</si>
  <si>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</si>
  <si>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</si>
  <si>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</si>
  <si>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</si>
  <si>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</si>
  <si>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</si>
  <si>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</si>
  <si>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</si>
  <si>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</si>
  <si>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</si>
  <si>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</si>
  <si>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</si>
  <si>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</si>
  <si>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</si>
  <si>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</si>
  <si>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</si>
  <si>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</si>
  <si>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</si>
  <si>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</si>
  <si>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</si>
  <si>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</si>
  <si>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</si>
  <si>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</si>
  <si>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</si>
  <si>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</si>
  <si>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</si>
  <si>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</si>
  <si>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</si>
  <si>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</si>
  <si>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</si>
  <si>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</si>
  <si>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</si>
  <si>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</si>
  <si>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</si>
  <si>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</si>
  <si>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</si>
  <si>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</si>
  <si>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</si>
  <si>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</si>
  <si>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</si>
  <si>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</si>
  <si>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</si>
  <si>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</si>
  <si>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</si>
  <si>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</si>
  <si>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</si>
  <si>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</si>
  <si>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</si>
  <si>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</si>
  <si>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</si>
  <si>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</si>
  <si>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</si>
  <si>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</si>
  <si>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</si>
  <si>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</si>
  <si>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</si>
  <si>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</si>
  <si>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</si>
  <si>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</si>
  <si>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</si>
  <si>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</si>
  <si>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</si>
  <si>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</si>
  <si>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</si>
  <si>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</si>
  <si>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</si>
  <si>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</si>
  <si>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</si>
  <si>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</si>
  <si>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</si>
  <si>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</si>
  <si>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</si>
  <si>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</si>
  <si>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</si>
  <si>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</si>
  <si>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</si>
  <si>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</si>
  <si>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</si>
  <si>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</si>
  <si>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</si>
  <si>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</si>
  <si>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</si>
  <si>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</si>
  <si>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</si>
  <si>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</si>
  <si>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</si>
  <si>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</si>
  <si>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</si>
  <si>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</si>
  <si>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</si>
  <si>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</si>
  <si>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</si>
  <si>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</si>
  <si>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</si>
  <si>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</si>
  <si>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</si>
  <si>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</si>
  <si>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</si>
  <si>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</si>
  <si>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</si>
  <si>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</si>
  <si>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</si>
  <si>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</si>
  <si>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</si>
  <si>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</si>
  <si>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</si>
  <si>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</si>
  <si>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</si>
  <si>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</si>
  <si>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</si>
  <si>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</si>
  <si>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</si>
  <si>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</si>
  <si>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</si>
  <si>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</si>
  <si>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</si>
  <si>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</si>
  <si>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</si>
  <si>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</si>
  <si>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</si>
  <si>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</si>
  <si>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</si>
  <si>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</si>
  <si>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</si>
  <si>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</si>
  <si>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</si>
  <si>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</si>
  <si>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</si>
  <si>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</si>
  <si>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</si>
  <si>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</si>
  <si>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</si>
  <si>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</si>
  <si>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</si>
  <si>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</si>
  <si>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</si>
  <si>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</si>
  <si>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</si>
  <si>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</si>
  <si>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</si>
  <si>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</si>
  <si>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</si>
  <si>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</si>
  <si>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</si>
  <si>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</si>
  <si>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</si>
  <si>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</si>
  <si>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</si>
  <si>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</si>
  <si>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</si>
  <si>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</si>
  <si>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</si>
  <si>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</si>
  <si>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</si>
  <si>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</si>
  <si>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</si>
  <si>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</si>
  <si>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</si>
  <si>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</si>
  <si>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</si>
  <si>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</si>
  <si>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</si>
  <si>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</si>
  <si>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</si>
  <si>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</si>
  <si>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</si>
  <si>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</si>
  <si>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</si>
  <si>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</si>
  <si>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</si>
  <si>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</si>
  <si>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</si>
  <si>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</si>
  <si>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</si>
  <si>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</si>
  <si>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</si>
  <si>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</si>
  <si>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</si>
  <si>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</si>
  <si>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</si>
  <si>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</si>
  <si>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</si>
  <si>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</si>
  <si>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</si>
  <si>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</si>
  <si>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</si>
  <si>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</si>
  <si>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</si>
  <si>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</si>
  <si>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</si>
  <si>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</si>
  <si>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</si>
  <si>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</si>
  <si>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</si>
  <si>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</si>
  <si>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</si>
  <si>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</si>
  <si>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</si>
  <si>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</si>
  <si>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</si>
  <si>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</si>
  <si>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</si>
  <si>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</si>
  <si>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</si>
  <si>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</si>
  <si>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</si>
  <si>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</si>
  <si>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</si>
  <si>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</si>
  <si>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</si>
  <si>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</si>
  <si>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</si>
  <si>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</si>
  <si>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</si>
  <si>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</si>
  <si>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</si>
  <si>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</si>
  <si>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</si>
  <si>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</si>
  <si>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</si>
  <si>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</si>
  <si>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</si>
  <si>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</si>
  <si>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</si>
  <si>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</si>
  <si>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</si>
  <si>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</si>
  <si>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</si>
  <si>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</si>
  <si>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</si>
  <si>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</si>
  <si>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</si>
  <si>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</si>
  <si>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</si>
  <si>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</si>
  <si>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</si>
  <si>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</si>
  <si>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</si>
  <si>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</si>
  <si>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</si>
  <si>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</si>
  <si>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</si>
  <si>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</si>
  <si>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</si>
  <si>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</si>
  <si>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</si>
  <si>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</si>
  <si>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</si>
  <si>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</si>
  <si>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</si>
  <si>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</si>
  <si>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</si>
  <si>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</si>
  <si>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</si>
  <si>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</si>
  <si>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</si>
  <si>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</si>
  <si>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</si>
  <si>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</si>
  <si>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</si>
  <si>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</si>
  <si>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</si>
  <si>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</si>
  <si>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</si>
  <si>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</si>
  <si>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</si>
  <si>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</si>
  <si>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</si>
  <si>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</si>
  <si>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</si>
  <si>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</si>
  <si>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</si>
  <si>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</si>
  <si>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</si>
  <si>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</si>
  <si>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</si>
  <si>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</si>
  <si>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</si>
  <si>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</si>
  <si>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</si>
  <si>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</si>
  <si>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</si>
  <si>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</si>
  <si>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</si>
  <si>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</si>
  <si>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</si>
  <si>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</si>
  <si>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</si>
  <si>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</si>
  <si>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</si>
  <si>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</si>
  <si>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</si>
  <si>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</si>
  <si>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</si>
  <si>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</si>
  <si>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</si>
  <si>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</si>
  <si>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</si>
  <si>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</si>
  <si>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</si>
  <si>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</si>
  <si>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</si>
  <si>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</si>
  <si>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</si>
  <si>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</si>
  <si>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</si>
  <si>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</si>
  <si>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</si>
  <si>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</si>
  <si>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</si>
  <si>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</si>
  <si>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</si>
  <si>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</si>
  <si>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</si>
  <si>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</si>
  <si>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</si>
  <si>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</si>
  <si>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</si>
  <si>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</si>
  <si>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</si>
  <si>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</si>
  <si>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</si>
  <si>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</si>
  <si>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</si>
  <si>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</si>
  <si>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</si>
  <si>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</si>
  <si>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</si>
  <si>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</si>
  <si>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</si>
  <si>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</si>
  <si>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</si>
  <si>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</si>
  <si>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</si>
  <si>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</si>
  <si>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</si>
  <si>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</si>
  <si>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</si>
  <si>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</si>
  <si>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</si>
  <si>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</si>
  <si>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</si>
  <si>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</si>
  <si>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</si>
  <si>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</si>
  <si>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</si>
  <si>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</si>
  <si>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</si>
  <si>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</si>
  <si>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</si>
  <si>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</si>
  <si>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</si>
  <si>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</si>
  <si>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</si>
  <si>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</si>
  <si>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</si>
  <si>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</si>
  <si>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</si>
  <si>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</si>
  <si>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</si>
  <si>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</si>
  <si>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</si>
  <si>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</si>
  <si>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</si>
  <si>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</si>
  <si>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</si>
  <si>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</si>
  <si>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</si>
  <si>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</si>
  <si>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</si>
  <si>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</si>
  <si>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</si>
  <si>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</si>
  <si>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</si>
  <si>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</si>
  <si>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</si>
  <si>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</si>
  <si>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</si>
  <si>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</si>
  <si>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</si>
  <si>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</si>
  <si>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</si>
  <si>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</si>
  <si>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</si>
  <si>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</si>
  <si>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</si>
  <si>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</si>
  <si>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</si>
  <si>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</si>
  <si>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</si>
  <si>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</si>
  <si>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</si>
  <si>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</si>
  <si>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</si>
  <si>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</si>
  <si>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</si>
  <si>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</si>
  <si>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</si>
  <si>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</si>
  <si>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</si>
  <si>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</si>
  <si>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</si>
  <si>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</si>
  <si>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</si>
  <si>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</si>
  <si>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</si>
  <si>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</si>
  <si>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</si>
  <si>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</si>
  <si>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</si>
  <si>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</si>
  <si>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</si>
  <si>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</si>
  <si>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</si>
  <si>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</si>
  <si>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</si>
  <si>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</si>
  <si>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</si>
  <si>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</si>
  <si>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</si>
  <si>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</si>
  <si>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</si>
  <si>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</si>
  <si>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</si>
  <si>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</si>
  <si>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</si>
  <si>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</si>
  <si>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</si>
  <si>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</si>
  <si>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</si>
  <si>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</si>
  <si>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</si>
  <si>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</si>
  <si>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</si>
  <si>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</si>
  <si>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</si>
  <si>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</si>
  <si>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</si>
  <si>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</si>
  <si>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</si>
  <si>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</si>
  <si>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</si>
  <si>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</si>
  <si>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</si>
  <si>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</si>
  <si>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</si>
  <si>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</si>
  <si>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</si>
  <si>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</si>
  <si>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</si>
  <si>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</si>
  <si>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</si>
  <si>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</si>
  <si>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</si>
  <si>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</si>
  <si>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</si>
  <si>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</si>
  <si>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</si>
  <si>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</si>
  <si>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</si>
  <si>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</si>
  <si>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</si>
  <si>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</si>
  <si>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</si>
  <si>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</si>
  <si>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</si>
  <si>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</si>
  <si>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</si>
  <si>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</si>
  <si>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</si>
  <si>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</si>
  <si>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</si>
  <si>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</si>
  <si>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</si>
  <si>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</si>
  <si>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</si>
  <si>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</si>
  <si>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</si>
  <si>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</si>
  <si>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</si>
  <si>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</si>
  <si>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</si>
  <si>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</si>
  <si>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</si>
  <si>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</si>
  <si>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</si>
  <si>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</si>
  <si>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</si>
  <si>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</si>
  <si>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</si>
  <si>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</si>
  <si>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</si>
  <si>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</si>
  <si>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</si>
  <si>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</si>
  <si>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</si>
  <si>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</si>
  <si>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</si>
  <si>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</si>
  <si>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</si>
  <si>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</si>
  <si>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</si>
  <si>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</si>
  <si>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</si>
  <si>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</si>
  <si>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</si>
  <si>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</si>
  <si>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</si>
  <si>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</si>
  <si>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</si>
  <si>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</si>
  <si>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</si>
  <si>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</si>
  <si>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</si>
  <si>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</si>
  <si>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</si>
  <si>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</si>
  <si>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</si>
  <si>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</si>
  <si>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</si>
  <si>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</si>
  <si>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</si>
  <si>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</si>
  <si>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</si>
  <si>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</si>
  <si>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</si>
  <si>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</si>
  <si>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</si>
  <si>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</si>
  <si>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</si>
  <si>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</si>
  <si>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</si>
  <si>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</si>
  <si>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</si>
  <si>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</si>
  <si>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</si>
  <si>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</si>
  <si>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</si>
  <si>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</si>
  <si>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</si>
  <si>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</si>
  <si>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</si>
  <si>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</si>
  <si>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</si>
  <si>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</si>
  <si>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</si>
  <si>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</si>
  <si>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</si>
  <si>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</si>
  <si>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</si>
  <si>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</si>
  <si>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</si>
  <si>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</si>
  <si>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</si>
  <si>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</si>
  <si>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</si>
  <si>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</si>
  <si>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</si>
  <si>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</si>
  <si>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</si>
  <si>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</si>
  <si>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</si>
  <si>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</si>
  <si>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</si>
  <si>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</si>
  <si>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</si>
  <si>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</si>
  <si>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</si>
  <si>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</si>
  <si>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</si>
  <si>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</si>
  <si>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</si>
  <si>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</si>
  <si>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</si>
  <si>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</si>
  <si>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</si>
  <si>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</si>
  <si>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</si>
  <si>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</si>
  <si>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</si>
  <si>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</si>
  <si>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</si>
  <si>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</si>
  <si>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</si>
  <si>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</si>
  <si>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</si>
  <si>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</si>
  <si>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</si>
  <si>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</si>
  <si>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</si>
  <si>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</si>
  <si>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</si>
  <si>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</si>
  <si>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</si>
  <si>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</si>
  <si>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</si>
  <si>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</si>
  <si>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</si>
  <si>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</si>
  <si>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</si>
  <si>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</si>
  <si>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</si>
  <si>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</si>
  <si>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</si>
  <si>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</si>
  <si>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</si>
  <si>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</si>
  <si>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</si>
  <si>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</si>
  <si>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</si>
  <si>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</si>
  <si>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</si>
  <si>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</si>
  <si>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</si>
  <si>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</si>
  <si>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</si>
  <si>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</si>
  <si>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</si>
  <si>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</si>
  <si>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</si>
  <si>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</si>
  <si>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</si>
  <si>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</si>
  <si>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</si>
  <si>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</si>
  <si>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</si>
  <si>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</si>
  <si>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</si>
  <si>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</si>
  <si>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</si>
  <si>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</si>
  <si>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</si>
  <si>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</si>
  <si>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</si>
  <si>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</si>
  <si>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</si>
  <si>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</si>
  <si>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</si>
  <si>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</si>
  <si>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</si>
  <si>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</si>
  <si>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</si>
  <si>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</si>
  <si>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</si>
  <si>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</si>
  <si>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</si>
  <si>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</si>
  <si>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</si>
  <si>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</si>
  <si>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</si>
  <si>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</si>
  <si>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</si>
  <si>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</si>
  <si>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</si>
  <si>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</si>
  <si>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</si>
  <si>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</si>
  <si>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</si>
  <si>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</si>
  <si>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</si>
  <si>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</si>
  <si>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</si>
  <si>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</si>
  <si>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</si>
  <si>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</si>
  <si>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</si>
  <si>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</si>
  <si>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</si>
  <si>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</si>
  <si>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</si>
  <si>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</si>
  <si>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</si>
  <si>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</si>
  <si>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</si>
  <si>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</si>
  <si>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</si>
  <si>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</si>
  <si>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</si>
  <si>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</si>
  <si>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</si>
  <si>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</si>
  <si>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</si>
  <si>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</si>
  <si>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</si>
  <si>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</si>
  <si>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</si>
  <si>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</si>
  <si>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</si>
  <si>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</si>
  <si>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</si>
  <si>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</si>
  <si>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</si>
  <si>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</si>
  <si>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</si>
  <si>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</si>
  <si>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</si>
  <si>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</si>
  <si>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</si>
  <si>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</si>
  <si>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</si>
  <si>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</si>
  <si>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</si>
  <si>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</si>
  <si>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</si>
  <si>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</si>
  <si>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</si>
  <si>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</si>
  <si>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</si>
  <si>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</si>
  <si>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</si>
  <si>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</si>
  <si>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</si>
  <si>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</si>
  <si>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</si>
  <si>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</si>
  <si>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</si>
  <si>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</si>
  <si>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</si>
  <si>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</si>
  <si>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</si>
  <si>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</si>
  <si>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</si>
  <si>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</si>
  <si>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</si>
  <si>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</si>
  <si>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</si>
  <si>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</si>
  <si>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</si>
  <si>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</si>
  <si>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</si>
  <si>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</si>
  <si>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</si>
  <si>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</si>
  <si>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</si>
  <si>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</si>
  <si>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</si>
  <si>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</si>
  <si>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</si>
  <si>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</si>
  <si>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</si>
  <si>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</si>
  <si>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</si>
  <si>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</si>
  <si>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</si>
  <si>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</si>
  <si>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</si>
  <si>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</si>
  <si>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</si>
  <si>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</si>
  <si>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</si>
  <si>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</si>
  <si>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</si>
  <si>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</si>
  <si>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</si>
  <si>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</si>
  <si>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</si>
  <si>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</si>
  <si>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</si>
  <si>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</si>
  <si>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</si>
  <si>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</si>
  <si>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</si>
  <si>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</si>
  <si>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</si>
  <si>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</si>
  <si>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</si>
  <si>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</si>
  <si>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</si>
  <si>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</si>
  <si>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</si>
  <si>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</si>
  <si>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</si>
  <si>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</si>
  <si>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</si>
  <si>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</si>
  <si>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</si>
  <si>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</si>
  <si>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</si>
  <si>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</si>
  <si>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</si>
  <si>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</si>
  <si>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</si>
  <si>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</si>
  <si>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</si>
  <si>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</si>
  <si>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</si>
  <si>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</si>
  <si>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</si>
  <si>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</si>
  <si>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</si>
  <si>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</si>
  <si>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</si>
  <si>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</si>
  <si>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</si>
  <si>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</si>
  <si>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</si>
  <si>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</si>
  <si>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</si>
  <si>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</si>
  <si>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</si>
  <si>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</si>
  <si>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</si>
  <si>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</si>
  <si>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</si>
  <si>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</si>
  <si>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</si>
  <si>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</si>
  <si>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</si>
  <si>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</si>
  <si>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</si>
  <si>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</si>
  <si>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</si>
  <si>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</si>
  <si>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</si>
  <si>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</si>
  <si>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</si>
  <si>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</si>
  <si>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</si>
  <si>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</si>
  <si>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</si>
  <si>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</si>
  <si>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</si>
  <si>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</si>
  <si>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</si>
  <si>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</si>
  <si>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</si>
  <si>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</si>
  <si>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</si>
  <si>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</si>
  <si>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</si>
  <si>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</si>
  <si>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</si>
  <si>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</si>
  <si>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</si>
  <si>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</si>
  <si>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</si>
  <si>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</si>
  <si>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</si>
  <si>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</si>
  <si>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</si>
  <si>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</si>
  <si>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</si>
  <si>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</si>
  <si>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</si>
  <si>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</si>
  <si>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</si>
  <si>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</si>
  <si>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</si>
  <si>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</si>
  <si>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</si>
  <si>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</si>
  <si>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</si>
  <si>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</si>
  <si>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</si>
  <si>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</si>
  <si>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</si>
  <si>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</si>
  <si>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</si>
  <si>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</si>
  <si>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</si>
  <si>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</si>
  <si>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</si>
  <si>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</si>
  <si>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</si>
  <si>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</si>
  <si>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</si>
  <si>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</si>
  <si>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</si>
  <si>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</si>
  <si>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</si>
  <si>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</si>
  <si>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</si>
  <si>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</si>
  <si>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</si>
  <si>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</si>
  <si>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</si>
  <si>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</si>
  <si>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</si>
  <si>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</si>
  <si>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</si>
  <si>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</si>
  <si>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</si>
  <si>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</si>
  <si>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</si>
  <si>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</si>
  <si>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</si>
  <si>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</si>
  <si>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</si>
  <si>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</si>
  <si>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</si>
  <si>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</si>
  <si>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</si>
  <si>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</si>
  <si>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</si>
  <si>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</si>
  <si>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</si>
  <si>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</si>
  <si>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</si>
  <si>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</si>
  <si>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</si>
  <si>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</si>
  <si>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</si>
  <si>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</si>
  <si>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</si>
  <si>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</si>
  <si>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</si>
  <si>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</si>
  <si>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</si>
  <si>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</si>
  <si>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</si>
  <si>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</si>
  <si>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</si>
  <si>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</si>
  <si>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</si>
  <si>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</si>
  <si>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</si>
  <si>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</si>
  <si>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</si>
  <si>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</si>
  <si>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</si>
  <si>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</si>
  <si>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</si>
  <si>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</si>
  <si>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</si>
  <si>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</si>
  <si>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</si>
  <si>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</si>
  <si>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</si>
  <si>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</si>
  <si>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</si>
  <si>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</si>
  <si>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</si>
  <si>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</si>
  <si>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</si>
  <si>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</si>
  <si>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</si>
  <si>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</si>
  <si>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</si>
  <si>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</si>
  <si>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</si>
  <si>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</si>
  <si>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</si>
  <si>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</si>
  <si>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</si>
  <si>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</si>
  <si>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</si>
  <si>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</si>
  <si>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</si>
  <si>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</si>
  <si>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</si>
  <si>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</si>
  <si>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</si>
  <si>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</si>
  <si>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</si>
  <si>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</si>
  <si>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</si>
  <si>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</si>
  <si>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</si>
  <si>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</si>
  <si>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</si>
  <si>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</si>
  <si>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</si>
  <si>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</si>
  <si>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</si>
  <si>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</si>
  <si>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</si>
  <si>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</si>
  <si>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</si>
  <si>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</si>
  <si>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</si>
  <si>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</si>
  <si>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</si>
  <si>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</si>
  <si>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</si>
  <si>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</si>
  <si>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</si>
  <si>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</si>
  <si>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</si>
  <si>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</si>
  <si>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</si>
  <si>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</si>
  <si>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</si>
  <si>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</si>
  <si>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</si>
  <si>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</si>
  <si>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</si>
  <si>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</si>
  <si>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</si>
  <si>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</si>
  <si>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</si>
  <si>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</si>
  <si>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</si>
  <si>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</si>
  <si>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</si>
  <si>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</si>
  <si>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</si>
  <si>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</si>
  <si>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</si>
  <si>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</si>
  <si>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</si>
  <si>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</si>
  <si>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</si>
  <si>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</si>
  <si>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</si>
  <si>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</si>
  <si>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</si>
  <si>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</si>
  <si>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</si>
  <si>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</si>
  <si>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</si>
  <si>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</si>
  <si>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</si>
  <si>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</si>
  <si>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</si>
  <si>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</si>
  <si>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</si>
  <si>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</si>
  <si>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</si>
  <si>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</si>
  <si>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</si>
  <si>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</si>
  <si>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</si>
  <si>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</si>
  <si>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</si>
  <si>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</si>
  <si>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</si>
  <si>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</si>
  <si>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</si>
  <si>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</si>
  <si>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</si>
  <si>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</si>
  <si>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</si>
  <si>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</si>
  <si>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</si>
  <si>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</si>
  <si>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</si>
  <si>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</si>
  <si>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</si>
  <si>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</si>
  <si>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</si>
  <si>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</si>
  <si>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</si>
  <si>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</si>
  <si>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</si>
  <si>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</si>
  <si>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</si>
  <si>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</si>
  <si>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</si>
  <si>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</si>
  <si>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</si>
  <si>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</si>
  <si>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</si>
  <si>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</si>
  <si>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</si>
  <si>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</si>
  <si>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</si>
  <si>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</si>
  <si>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</si>
  <si>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</si>
  <si>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</si>
  <si>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</si>
  <si>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</si>
  <si>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</si>
  <si>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</si>
  <si>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</si>
  <si>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</si>
  <si>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</si>
  <si>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</si>
  <si>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</si>
  <si>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</si>
  <si>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</si>
  <si>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</si>
  <si>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</si>
  <si>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</si>
  <si>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</si>
  <si>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</si>
  <si>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</si>
  <si>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</si>
  <si>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</si>
  <si>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</si>
  <si>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</si>
  <si>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</si>
  <si>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</si>
  <si>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</si>
  <si>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</si>
  <si>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</si>
  <si>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</si>
  <si>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</si>
  <si>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</si>
  <si>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</si>
  <si>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</si>
  <si>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</si>
  <si>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</si>
  <si>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</si>
  <si>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</si>
  <si>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</si>
  <si>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</si>
  <si>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</si>
  <si>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</si>
  <si>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</si>
  <si>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</si>
  <si>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</si>
  <si>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</si>
  <si>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</si>
  <si>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</si>
  <si>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</si>
  <si>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</si>
  <si>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</si>
  <si>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</si>
  <si>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</si>
  <si>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</si>
  <si>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</si>
  <si>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</si>
  <si>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</si>
  <si>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</si>
  <si>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</si>
  <si>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</si>
  <si>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</si>
  <si>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</si>
  <si>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</si>
  <si>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</si>
  <si>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</si>
  <si>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</si>
  <si>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</si>
  <si>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</si>
  <si>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</si>
  <si>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</si>
  <si>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</si>
  <si>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</si>
  <si>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</si>
  <si>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</si>
  <si>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</si>
  <si>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</si>
  <si>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</si>
  <si>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</si>
  <si>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</si>
  <si>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</si>
  <si>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</si>
  <si>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</si>
  <si>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</si>
  <si>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</si>
  <si>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</si>
  <si>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</si>
  <si>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</si>
  <si>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</si>
  <si>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</si>
  <si>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</si>
  <si>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</si>
  <si>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</si>
  <si>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</si>
  <si>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</si>
  <si>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</si>
  <si>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</si>
  <si>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</si>
  <si>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</si>
  <si>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</si>
  <si>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</si>
  <si>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</si>
  <si>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</si>
  <si>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</si>
  <si>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</si>
  <si>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</si>
  <si>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</si>
  <si>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</si>
  <si>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</si>
  <si>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</si>
  <si>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</si>
  <si>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</si>
  <si>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</si>
  <si>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</si>
  <si>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</si>
  <si>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</si>
  <si>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</si>
  <si>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</si>
  <si>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</si>
  <si>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</si>
  <si>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</si>
  <si>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</si>
  <si>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</si>
  <si>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</si>
  <si>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</si>
  <si>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</si>
  <si>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</si>
  <si>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</si>
  <si>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</si>
  <si>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</si>
  <si>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</si>
  <si>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</si>
  <si>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</si>
  <si>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</si>
  <si>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</si>
  <si>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</si>
  <si>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</si>
  <si>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</si>
  <si>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</si>
  <si>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</si>
  <si>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</si>
  <si>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</si>
  <si>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</si>
  <si>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</si>
  <si>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</si>
  <si>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</si>
  <si>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</si>
  <si>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</si>
  <si>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</si>
  <si>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</si>
  <si>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</si>
  <si>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</si>
  <si>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</si>
  <si>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</si>
  <si>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</si>
  <si>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</si>
  <si>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</si>
  <si>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</si>
  <si>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</si>
  <si>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</si>
  <si>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</si>
  <si>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</si>
  <si>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</si>
  <si>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</si>
  <si>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</si>
  <si>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</si>
  <si>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</si>
  <si>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</si>
  <si>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</si>
  <si>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</si>
  <si>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</si>
  <si>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</si>
  <si>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</si>
  <si>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</si>
  <si>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</si>
  <si>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</si>
  <si>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</si>
  <si>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</si>
  <si>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</si>
  <si>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</si>
  <si>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</si>
  <si>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</si>
  <si>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</si>
  <si>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</si>
  <si>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</si>
  <si>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</si>
  <si>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</si>
  <si>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</si>
  <si>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</si>
  <si>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</si>
  <si>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</si>
  <si>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</si>
  <si>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</si>
  <si>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</si>
  <si>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</si>
  <si>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</si>
  <si>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</si>
  <si>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</si>
  <si>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</si>
  <si>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</si>
  <si>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</si>
  <si>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</si>
  <si>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</si>
  <si>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</si>
  <si>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</si>
  <si>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</si>
  <si>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</si>
  <si>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</si>
  <si>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</si>
  <si>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</si>
  <si>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</si>
  <si>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</si>
  <si>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</si>
  <si>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</si>
  <si>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</si>
  <si>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</si>
  <si>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</si>
  <si>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</si>
  <si>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</si>
  <si>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</si>
  <si>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</si>
  <si>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</si>
  <si>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</si>
  <si>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</si>
  <si>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</si>
  <si>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</si>
  <si>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</si>
  <si>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</si>
  <si>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</si>
  <si>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</si>
  <si>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</si>
  <si>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</si>
  <si>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</si>
  <si>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</si>
  <si>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</si>
  <si>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</si>
  <si>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</si>
  <si>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</si>
  <si>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</si>
  <si>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</si>
  <si>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</si>
  <si>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</si>
  <si>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</si>
  <si>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</si>
  <si>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</si>
  <si>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</si>
  <si>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</si>
  <si>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</si>
  <si>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</si>
  <si>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</si>
  <si>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</si>
  <si>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</si>
  <si>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</si>
  <si>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</si>
  <si>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</si>
  <si>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</si>
  <si>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</si>
  <si>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</si>
  <si>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</si>
  <si>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</si>
  <si>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</si>
  <si>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</si>
  <si>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</si>
  <si>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</si>
  <si>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</si>
  <si>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</si>
  <si>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</si>
  <si>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</si>
  <si>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</si>
  <si>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</si>
  <si>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</si>
  <si>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</si>
  <si>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</si>
  <si>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</si>
  <si>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</si>
  <si>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</si>
  <si>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</si>
  <si>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</si>
  <si>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</si>
  <si>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</si>
  <si>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</si>
  <si>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</si>
  <si>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</si>
  <si>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</si>
  <si>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</si>
  <si>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</si>
  <si>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</si>
  <si>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</si>
  <si>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</si>
  <si>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</si>
  <si>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</si>
  <si>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</si>
  <si>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</si>
  <si>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</si>
  <si>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</si>
  <si>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</si>
  <si>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</si>
  <si>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</si>
  <si>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</si>
  <si>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</si>
  <si>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</si>
  <si>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</si>
  <si>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</si>
  <si>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</si>
  <si>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</si>
  <si>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</si>
  <si>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</si>
  <si>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</si>
  <si>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</si>
  <si>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</si>
  <si>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</si>
  <si>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</si>
  <si>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</si>
  <si>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</si>
  <si>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</si>
  <si>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</si>
  <si>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</si>
  <si>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</si>
  <si>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</si>
  <si>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</si>
  <si>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</si>
  <si>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</si>
  <si>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</si>
  <si>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</si>
  <si>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</si>
  <si>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</si>
  <si>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</si>
  <si>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</si>
  <si>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</si>
  <si>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</si>
  <si>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</si>
  <si>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</si>
  <si>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</si>
  <si>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</si>
  <si>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</si>
  <si>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</si>
  <si>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</si>
  <si>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</si>
  <si>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</si>
  <si>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</si>
  <si>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</si>
  <si>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</si>
  <si>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</si>
  <si>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</si>
  <si>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</si>
  <si>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</si>
  <si>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</si>
  <si>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</si>
  <si>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</si>
  <si>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</si>
  <si>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</si>
  <si>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</si>
  <si>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</si>
  <si>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</si>
  <si>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</si>
  <si>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</si>
  <si>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</si>
  <si>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</si>
  <si>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</si>
  <si>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</si>
  <si>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</si>
  <si>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</si>
  <si>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</si>
  <si>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</si>
  <si>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</si>
  <si>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</si>
  <si>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</si>
  <si>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</si>
  <si>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</si>
  <si>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</si>
  <si>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</si>
  <si>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</si>
  <si>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</si>
  <si>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</si>
  <si>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</si>
  <si>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</si>
  <si>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</si>
  <si>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</si>
  <si>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</si>
  <si>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</si>
  <si>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</si>
  <si>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</si>
  <si>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</si>
  <si>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</si>
  <si>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</si>
  <si>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</si>
  <si>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</si>
  <si>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</si>
  <si>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</si>
  <si>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</si>
  <si>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</si>
  <si>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</si>
  <si>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</si>
  <si>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</si>
  <si>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</si>
  <si>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</si>
  <si>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</si>
  <si>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</si>
  <si>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</si>
  <si>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</si>
  <si>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</si>
  <si>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</si>
  <si>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</si>
  <si>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</si>
  <si>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</si>
  <si>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</si>
  <si>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</si>
  <si>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</si>
  <si>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</si>
  <si>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</si>
  <si>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</si>
  <si>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</si>
  <si>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</si>
  <si>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</si>
  <si>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</si>
  <si>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</si>
  <si>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</si>
  <si>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</si>
  <si>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</si>
  <si>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</si>
  <si>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</si>
  <si>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</si>
  <si>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</si>
  <si>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</si>
  <si>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</si>
  <si>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</si>
  <si>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</si>
  <si>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</si>
  <si>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</si>
  <si>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</si>
  <si>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</si>
  <si>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</si>
  <si>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</si>
  <si>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</si>
  <si>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</si>
  <si>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</si>
  <si>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</si>
  <si>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</si>
  <si>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</si>
  <si>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</si>
  <si>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</si>
  <si>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</si>
  <si>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</si>
  <si>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</si>
  <si>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</si>
  <si>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</si>
  <si>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</si>
  <si>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</si>
  <si>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</si>
  <si>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</si>
  <si>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</si>
  <si>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</si>
  <si>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</si>
  <si>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</si>
  <si>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</si>
  <si>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</si>
  <si>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</si>
  <si>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</si>
  <si>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</si>
  <si>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</si>
  <si>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</si>
  <si>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</si>
  <si>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</si>
  <si>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</si>
  <si>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</si>
  <si>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</si>
  <si>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</si>
  <si>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</si>
  <si>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</si>
  <si>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</si>
  <si>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</si>
  <si>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</si>
  <si>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</si>
  <si>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</si>
  <si>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</si>
  <si>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</si>
  <si>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</si>
  <si>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</si>
  <si>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</si>
  <si>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</si>
  <si>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</si>
  <si>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</si>
  <si>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</si>
  <si>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</si>
  <si>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</si>
  <si>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</si>
  <si>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</si>
  <si>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</si>
  <si>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</si>
  <si>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</si>
  <si>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</si>
  <si>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</si>
  <si>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</si>
  <si>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</si>
  <si>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</si>
  <si>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</si>
  <si>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</si>
  <si>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</si>
  <si>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</si>
  <si>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</si>
  <si>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</si>
  <si>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</si>
  <si>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</si>
  <si>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</si>
  <si>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</si>
  <si>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</si>
  <si>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</si>
  <si>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</si>
  <si>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</si>
  <si>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</si>
  <si>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</si>
  <si>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</si>
  <si>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</si>
  <si>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</si>
  <si>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</si>
  <si>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</si>
  <si>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</si>
  <si>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</si>
  <si>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</si>
  <si>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</si>
  <si>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</si>
  <si>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</si>
  <si>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</si>
  <si>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</si>
  <si>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</si>
  <si>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</si>
  <si>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</si>
  <si>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</si>
  <si>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</si>
  <si>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</si>
  <si>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</si>
  <si>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</si>
  <si>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</si>
  <si>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</si>
  <si>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</si>
  <si>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</si>
  <si>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</si>
  <si>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</si>
  <si>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</si>
  <si>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</si>
  <si>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</si>
  <si>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</si>
  <si>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</si>
  <si>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</si>
  <si>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</si>
  <si>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</si>
  <si>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</si>
  <si>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</si>
  <si>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</si>
  <si>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</si>
  <si>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</si>
  <si>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</si>
  <si>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</si>
  <si>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</si>
  <si>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</si>
  <si>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</si>
  <si>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</si>
  <si>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</si>
  <si>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</si>
  <si>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</si>
  <si>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</si>
  <si>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</si>
  <si>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</si>
  <si>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</si>
  <si>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</si>
  <si>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</si>
  <si>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</si>
  <si>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</si>
  <si>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</si>
  <si>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</si>
  <si>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</si>
  <si>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</si>
  <si>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</si>
  <si>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</si>
  <si>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</si>
  <si>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</si>
  <si>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</si>
  <si>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</si>
  <si>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</si>
  <si>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</si>
  <si>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</si>
  <si>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</si>
  <si>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</si>
  <si>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</si>
  <si>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</si>
  <si>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</si>
  <si>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</si>
  <si>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</si>
  <si>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</si>
  <si>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</si>
  <si>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</si>
  <si>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</si>
  <si>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</si>
  <si>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</si>
  <si>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</si>
  <si>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</si>
  <si>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</si>
  <si>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
&lt;p&gt;Если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href="index.php?option=com_content&amp;view=article&amp;id=36&amp;catid=12&amp;Itemid=115"&gt;раздвижные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class="pull-right thumbnail" rel="prettyphoto" href="images/products/dver/dver-47.jpg"&gt;&lt;img src="images/products/thumbs/thumb-dver-47.jpg" alt="Каркасная офисная перегородка из ДСП со стеклянной дверью" /&gt;&lt;span class="caption simple-caption"&gt;Каркасная офисная перегородка из ДСП со стеклянной дверью&lt;/span&gt;&lt;/a&gt;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href="index.php?option=com_content&amp;view=article&amp;id=30&amp;catid=12&amp;Itemid=115"&gt;противопожарное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class="alert alert-success"&gt;&lt;i class="icon-lamp btn-large"&gt;&lt;/i&gt;К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class="mylist arrow-right-special"&gt;
  &lt;li&gt;&lt;p&gt;&lt;a title="каркасные стационарные стеклянные перегородки" href="index.php?option=com_content&amp;view=article&amp;id=29&amp;catid=12&amp;Itemid=115"&gt;каркасные стационарные стеклянные перегородки&lt;/a&gt;&lt;/p&gt;&lt;/li&gt;  
&lt;li&gt;&lt;p&gt;&lt;a title="цельностеклянные перегородки" href="index.php?option=com_content&amp;view=article&amp;id=33&amp;catid=12&amp;Itemid=115"&gt;цельностеклянные перегородки&lt;/a&gt;&lt;/p&gt;&lt;/li&gt;
&lt;li&gt;&lt;p&gt;&lt;a title="раздвижные стеклянные перегородки" href="index.php?option=com_content&amp;view=article&amp;id=36&amp;catid=12&amp;Itemid=115"&gt;раздвижные стеклянные перегородки&lt;/a&gt;&lt;/p&gt;&lt;/li&gt;
&lt;/ul&gt;
&lt;a class="pull-left thumbnail" rel="prettyphoto" href="images/products/peregorodka/peregorodka-92.jpg"&gt;&lt;img src="images/products/thumbs/thumb-peregorodka-92.jpg" alt="Каркасная офисная перегородка из стекла с дверью из ДСП" /&gt;&lt;span class="caption simple-caption"&gt;Каркасная офисная перегородка из стекла с дверью из ДСП&lt;/span&gt;&lt;/a&gt;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href="index.php?option=com_content&amp;view=article&amp;id=10&amp;catid=7&amp;Itemid=187"&gt;&lt;strong&gt;монтаж офисных перегородок&lt;/strong&gt;&lt;/a&gt; непосредственно в месте, определяемом заказчиком.&lt;/p&gt;</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</si>
  <si>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</si>
  <si>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</si>
  <si>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</si>
  <si>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</si>
  <si>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</si>
  <si>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 xml:space="preserve">
&lt;p&gt;&lt;strong&gt;Мобильность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href="index.php?option=com_content&amp;view=article&amp;id=33&amp;catid=12&amp;Itemid=115"&gt;стеклянные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class="mylist checkbox-partial"&gt;
&lt;li&gt;&lt;p&gt;кронштейны для крепления к  столешницам;&lt;/p&gt;&lt;/li&gt;
&lt;li&gt;&lt;p&gt;элементы крепления к стене;&lt;/p&gt;&lt;/li&gt;
&lt;li&gt;&lt;p&gt;мебельные уголки для  крепления столешниц;&lt;/p&gt;&lt;/li&gt;
&lt;li&gt;&lt;p&gt;стандартные элементы для крепления: винты,  саморезы, дюбели и пр.&lt;/p&gt;&lt;/li&gt;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class="pull-right thumbnail" rel="prettyphoto" href="images/products/peregorodka/peregorodka-99.jpg"&gt;
&lt;img src="images/products/thumbs/thumb-peregorodka-99.jpg" alt="Мобильная перегородка для офиса" /&gt;
&lt;span class="caption simple-caption"&gt;Мобильная перегородка для офиса&lt;/span&gt;&lt;/a&gt;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</si>
  <si>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</si>
  <si>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</si>
  <si>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</si>
  <si>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</si>
  <si>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</si>
  <si>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 xml:space="preserve">
&lt;p&gt;Между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class="alert alert-info"&gt;&lt;i class="icon-info-2"&gt;&lt;/i&gt;Таким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href="index.php?option=com_content&amp;view=article&amp;id=31&amp;catid=12&amp;Itemid=115"&gt;цельностеклянные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class="pull-right thumbnail" rel="prettyphoto" href="images/products/peregorodka/peregorodka-54.jpg"&gt;&lt;img src="images/products/thumbs/thumb-peregorodka-54.jpg" alt="Цельностеклянная перегородка с входной группой кинотеатр Kronwerk" /&gt;&lt;span class="caption simple-caption"&gt;Цельностеклянная перегородка с входной группой кинотеатр Kronwerk&lt;/span&gt;&lt;/a&gt;
&lt;p&gt;В отличие от &lt;a title="Каркасные стеклянные перегородки" href="index.php?option=com_content&amp;view=article&amp;id=29&amp;catid=12&amp;Itemid=115"&gt;каркасных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class="alert alert-info"&gt;&lt;i class="icon-lamp"&gt;&lt;/i&gt;В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class="pull-left thumbnail" rel="prettyphoto" href="images/products/peregorodka/peregorodka-87.jpg"&gt;&lt;img src="images/products/thumbs/thumb-peregorodka-87.jpg" alt="Цельностеклянная офисная перегородка с раздвижной дверью" /&gt;&lt;span class="caption simple-caption"&gt;Цельностеклянная офисная перегородка с раздвижной дверью&lt;/span&gt;&lt;/a&gt;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раздвижные&lt;/td&gt;
&lt;/tr&gt;
&lt;tr&gt;
&lt;td&gt;Базовый цвет фурнитуры&lt;/td&gt;
&lt;td class="center"&gt;
AL (анодированный аллюминий)&lt;br /&gt;SSS (матовая нержавеющая сталь)&lt;br /&gt;PSS (полированная   нержавеющая сталь)
&lt;/td&gt;
&lt;/tr&gt;
&lt;/tbody&gt;
&lt;/table&gt;
&lt;p&gt;1 — «джамбо» стекло&lt;/p&gt;</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</si>
  <si>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</si>
  <si>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</si>
  <si>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</si>
  <si>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</si>
  <si>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</si>
  <si>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 xml:space="preserve">
&lt;p&gt;&lt;strong&gt;&lt;a rel="prettyphoto" title="Межкомнатная цельностеклянная перегородка из прозрачного стекла с раздвижными дверями и пескоструйным рисунком" href="images/products/peregorodka/peregorodka-11.jpg"&gt;Раздвижные межкомнатные стеклянные перегородки&lt;/a&gt;&lt;/strong&gt;,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class="pull-right thumbnail-vert" rel="prettyphoto" href="images/products/peregorodka/peregorodka-26.jpg"&gt;&lt;img src="images/products/thumbs/thumb-peregorodka-26.jpg" alt="Монтаж раздвижной межкомнатной перегородки в квартире между кухонным уголком и гостиной" /&gt;&lt;span class="caption simple-caption"&gt;Раздвижная перегородка между кухонным уголком и гостиной&lt;/span&gt;&lt;/a&gt;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class="mylist arrow-right-special"&gt;
&lt;li&gt;&lt;p&gt;перегородка с откатыванием внутрь стены или с её наружной стороны&lt;/p&gt;&lt;/li&gt;
&lt;li&gt;&lt;p&gt;складывание перегородки "гармошкой"&lt;/p&gt;&lt;/li&gt;
&lt;li&gt;&lt;p&gt;раздвигание перегородки на специальное место для парковки&lt;/p&gt;&lt;/li&gt;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 alert-success"&gt;&lt;i class="icon-info-2 btn-large"&gt;&lt;/i&gt;За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&lt;div class="gallery"&gt;
	&lt;a rel="prettyPhoto[interiumwalls]" class="thumbnail" href="/images/products/dver/dver-12.jpg"&gt;&lt;img src="/images/products/dver/preview/200x160/dver-12.jpg" alt="Цельностеклянная перегородка с раздвижной дверью и витражным рисунком"&gt;&lt;span class="caption full-caption"&gt;Цельностеклянная перегородка с раздвижной дверью и витражным рисунком&lt;/span&gt;&lt;/a&gt;	
	&lt;a rel="prettyPhoto[interiumwalls]" class="thumbnail" href="/images/products/dver/dver-72.jpg"&gt;&lt;img src="/images/products/dver/preview/200x160/dver-72.jpg" alt="Матовая цельностеклянная перегородка с раздвижной дверью"&gt;&lt;span class="caption full-caption"&gt;Матовая цельностеклянная перегородка с раздвижной дверью&lt;/span&gt;&lt;/a&gt;	
	&lt;a rel="prettyPhoto[interiumwalls]" class="thumbnail" href="/images/products/peregorodka/peregorodka-24.jpg"&gt;&lt;img src="/images/products/peregorodka/preview/200x160/peregorodka-24.jpg" alt="Цельностеклянная перегородка для аппартаментов формата LOFT"&gt;&lt;span class="caption full-caption"&gt;Цельностеклянная перегородка для аппартаментов формата LOFT&lt;/span&gt;&lt;/a&gt;	
	&lt;a rel="prettyPhoto[interiumwalls]" class="thumbnail" href="/images/products/pesok/pesok-14.jpg"&gt;&lt;img src="/images/products/pesok/preview/200x160/pesok-14.jpg" alt="Цельностеклянная перегородка из бронзового стекла с рисунком"&gt;&lt;span class="caption full-caption"&gt;Цельностеклянная перегородка из бронзового стекла с рисунком&lt;/span&gt;&lt;/a&gt;	
	&lt;a rel="prettyPhoto[interiumwalls]" class="thumbnail" href="/images/products/peregorodka/peregorodka-19.jpg"&gt;&lt;img src="/images/products/peregorodka/preview/200x160/peregorodka-19.jpg" alt="Матовая цельностеклянная перегородка в однокомнатной квартире для отделения кухонной зоны"&gt;&lt;span class="caption full-caption"&gt;Матовая цельностеклянная перегородка в однокомнатной квартире для отделения кухонной зоны&lt;/span&gt;&lt;/a&gt;	
 &lt;/div&gt;</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</si>
  <si>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</si>
  <si>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</si>
  <si>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</si>
  <si>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</si>
  <si>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</si>
  <si>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 xml:space="preserve">
&lt;p&gt;Это может быть:&lt;/p&gt;
&lt;ul class="mylist checkmark"&gt;
&lt;li&gt;&lt;p&gt;&lt;a title="художественная пескоструйная обработка стекла" href="index.php?option=com_content&amp;view=article&amp;id=50&amp;catid=17&amp;Itemid=122"&gt;художественная пескоструйная обработка&lt;/a&gt;&lt;/p&gt;&lt;/li&gt;
&lt;li&gt;&lt;p&gt;глубокая пескоструйная обработка (позволяет создать рельефный рисунок)&lt;/p&gt;&lt;/li&gt;
&lt;li&gt;&lt;p&gt;поклейка декоративной пленки на поверхности стекла&lt;/li&gt;
&lt;li&gt;&lt;p&gt;запекание декоративной пленки между двух стекол (декоративный триплекс)&lt;/p&gt;&lt;/li&gt;
&lt;li&gt;&lt;p&gt;нанесение различных видов &lt;a title="Заливные витражи на стекле" href="index.php?option=com_content&amp;view=article&amp;id=52&amp;catid=17&amp;Itemid=122"&gt;витражных рисунков&lt;/a&gt;&lt;/p&gt;&lt;/li&gt;
&lt;li&gt;&lt;p&gt;&lt;a title="Фотопечать на стекле" href="index.php?option=com_content&amp;view=article&amp;id=51&amp;catid=17&amp;Itemid=122"&gt;&lt;span class="icon"&gt; &lt;/span&gt;фотопечать на стекле&lt;/a&gt;&lt;/p&gt;&lt;/li&gt;
&lt;li&gt;&lt;p&gt;&lt;a title="фьюзинг" href="index.php?option=com_content&amp;view=article&amp;id=82&amp;catid=17&amp;Itemid=122"&gt;фьюзинг&lt;/a&gt;&lt;/p&gt;&lt;/li&gt;
&lt;/ul&gt;
&lt;a class="pull-right thumbnail" rel="prettyphoto" href="images/products/pesok/pesok-25.jpg"&gt;&lt;img src="images/products/thumbs/thumb-pesok-25.jpg" alt="Нанесение логотипа на стеклянной перегородке пескоструйным рисунком" /&gt;&lt;span class="caption simple-caption"&gt;Нанесение логотипа на стеклянной перегородке пескоструйным рисунком&lt;/span&gt;&lt;/a&gt;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class="pull-left thumbnail-vert" rel="prettyphoto" href="images/products/pesok/pesok-22.jpg"&gt;&lt;img src="images/products/thumbs/thumb-pesok-22.jpg" alt="Нанесение полос на стеклянной двери матовой пленкой" /&gt;&lt;span class="caption simple-caption"&gt;Нанесение полос на стеклянной двери матовой пленкой&lt;/span&gt;&lt;/a&gt;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class="pull-right thumbnail-vert" rel="prettyphoto" href="images/products/fusing/fusing-03.jpg"&gt;&lt;img src="images/products/thumbs/thumb-fusing-03.jpg" alt="Стеклянная дверь декорированная фьюзингом" /&gt;&lt;span class="caption simple-caption"&gt;Стеклянная дверь декорированная фьюзингом&lt;/span&gt;&lt;/a&gt;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</si>
  <si>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</si>
  <si>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</si>
  <si>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</si>
  <si>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</si>
  <si>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</si>
  <si>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</si>
  <si>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</si>
  <si>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</si>
  <si>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</si>
  <si>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</si>
  <si>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</si>
  <si>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</si>
  <si>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</si>
  <si>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</si>
  <si>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</si>
  <si>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</si>
  <si>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</si>
  <si>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</si>
  <si>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</si>
  <si>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</si>
  <si>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</si>
  <si>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</si>
  <si>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</si>
  <si>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</si>
  <si>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</si>
  <si>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</si>
  <si>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</si>
  <si>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</si>
  <si>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</si>
  <si>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</si>
  <si>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</si>
  <si>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</si>
  <si>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</si>
  <si>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</si>
  <si>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</si>
  <si>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</si>
  <si>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</si>
  <si>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</si>
  <si>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</si>
  <si>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</si>
  <si>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</si>
  <si>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</si>
  <si>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</si>
  <si>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</si>
  <si>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</si>
  <si>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</si>
  <si>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</si>
  <si>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</si>
  <si>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</si>
  <si>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</si>
  <si>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</si>
  <si>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</si>
  <si>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</si>
  <si>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</si>
  <si>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</si>
  <si>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</si>
  <si>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</si>
  <si>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</si>
  <si>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</si>
  <si>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class="thumbnail" href="/images/products/zerkalo/zerkalo-04.jpg"&gt;&lt;img src="/images/products/zerkalo/preview/200x160/zerkalo-04.jpg" alt="Зеркало в багете"&gt;&lt;span class="caption full-caption"&gt;Зеркало в багете&lt;/span&gt;&lt;/a&gt;	
	&lt;a rel="prettyPhoto[zerkala]" class="thumbnail" href="/images/products/zerkalo/zerkalo-05.jpg"&gt;&lt;img src="/images/products/zerkalo/preview/200x160/zerkalo-05.jpg" alt="Зеркало в багете"&gt;&lt;span class="caption full-caption"&gt;Зеркало в багете&lt;/span&gt;&lt;/a&gt;	
	&lt;a rel="prettyPhoto[zerkala]" class="thumbnail"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class="thumbnail" href="/images/products/zerkalo/zerkalo-07.jpg"&gt;&lt;img src="/images/products/zerkalo/preview/200x160/zerkalo-07.jpg" alt="Зеркало в багете"&gt;&lt;span class="caption full-caption"&gt;Зеркало в багете&lt;/span&gt;&lt;/a&gt;	
	&lt;a rel="prettyPhoto[zerkala]" class="thumbnail" href="/images/products/zerkalo/zerkalo-08.jpg"&gt;&lt;img src="/images/products/zerkalo/preview/200x160/zerkalo-08.jpg" alt="Зеркало в багете"&gt;&lt;span class="caption full-caption"&gt;Зеркало в багете&lt;/span&gt;&lt;/a&gt;	
	&lt;a rel="prettyPhoto[zerkala]" class="thumbnail"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class="thumbnail" href="/images/products/zerkalo/zerkalo-10.jpg"&gt;&lt;img src="/images/products/zerkalo/preview/200x160/zerkalo-10.jpg" alt="Зеркало в багете"&gt;&lt;span class="caption full-caption"&gt;Зеркало в багете&lt;/span&gt;&lt;/a&gt;	
	&lt;a rel="prettyPhoto[zerkala]" class="thumbnail"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class="thumbnail" href="/images/products/zerkalo/zerkalo-12.jpg"&gt;&lt;img src="/images/products/zerkalo/preview/200x160/zerkalo-12.jpg" alt="Зеркало в багете"&gt;&lt;span class="caption full-caption"&gt;Зеркало в багете&lt;/span&gt;&lt;/a&gt;	
	&lt;a rel="prettyPhoto[zerkala]" class="thumbnail" href="/images/products/zerkalo/zerkalo-13.jpg"&gt;&lt;img src="/images/products/zerkalo/preview/200x160/zerkalo-13.jpg" alt="Зеркало в прихожей"&gt;&lt;span class="caption full-caption"&gt;Зеркало в прихожей&lt;/span&gt;&lt;/a&gt;	
	&lt;a rel="prettyPhoto[zerkala]" class="thumbnail" href="/images/products/zerkalo/zerkalo-14.jpg"&gt;&lt;img src="/images/products/zerkalo/preview/200x160/zerkalo-14.jpg" alt="Зеркало в ванной"&gt;&lt;span class="caption full-caption"&gt;Зеркало в ванной&lt;/span&gt;&lt;/a&gt;	
	&lt;a rel="prettyPhoto[zerkala]" class="thumbnail" href="/images/products/zerkalo/zerkalo-15.jpg"&gt;&lt;img src="/images/products/zerkalo/preview/200x160/zerkalo-15.jpg" alt="Бронзовое зеркало"&gt;&lt;span class="caption full-caption"&gt;Бронзовое зеркало&lt;/span&gt;&lt;/a&gt;	
	&lt;a rel="prettyPhoto[zerkala]" class="thumbnail"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class="thumbnail" href="/images/products/zerkalo/zerkalo-17.jpg"&gt;&lt;img src="/images/products/zerkalo/preview/200x160/zerkalo-17.jpg" alt="Зеркало в ванной"&gt;&lt;span class="caption full-caption"&gt;Зеркало в ванной&lt;/span&gt;&lt;/a&gt;	
	&lt;a rel="prettyPhoto[zerkala]" class="thumbnail"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class="thumbnail" href="/images/products/zerkalo/zerkalo-21.jpg"&gt;&lt;img src="/images/products/zerkalo/preview/200x160/zerkalo-21.jpg" alt="Зеркало в ванной"&gt;&lt;span class="caption full-caption"&gt;Зеркало в ванной&lt;/span&gt;&lt;/a&gt;	
	&lt;a rel="prettyPhoto[zerkala]" class="thumbnail" href="/images/products/zerkalo/zerkalo-22.jpg"&gt;&lt;img src="/images/products/zerkalo/preview/200x160/zerkalo-22.jpg" alt="Зеркало в ванной"&gt;&lt;span class="caption full-caption"&gt;Зеркало в ванной&lt;/span&gt;&lt;/a&gt;	
	&lt;a rel="prettyPhoto[zerkala]" class="thumbnail" href="/images/products/zerkalo/zerkalo-23.jpg"&gt;&lt;img src="/images/products/zerkalo/preview/200x160/zerkalo-23.jpg" alt="Зеркало в ванной"&gt;&lt;span class="caption full-caption"&gt;Зеркало в ванной&lt;/span&gt;&lt;/a&gt;	
 &lt;/div&gt;</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</si>
  <si>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</si>
  <si>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</si>
  <si>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</si>
  <si>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</si>
  <si>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</si>
  <si>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</si>
  <si>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</si>
  <si>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</si>
  <si>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</si>
  <si>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</si>
  <si>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</si>
  <si>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</si>
  <si>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</si>
  <si>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</si>
  <si>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</si>
  <si>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</si>
  <si>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</si>
  <si>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</si>
  <si>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</si>
  <si>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</si>
  <si>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</si>
  <si>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</si>
  <si>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</si>
  <si>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</si>
  <si>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</si>
  <si>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</si>
  <si>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</si>
  <si>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</si>
  <si>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</si>
  <si>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</si>
  <si>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</si>
  <si>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</si>
  <si>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</si>
  <si>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</si>
  <si>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</si>
  <si>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</si>
  <si>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</si>
  <si>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</si>
  <si>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</si>
  <si>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</si>
  <si>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</si>
  <si>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</si>
  <si>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</si>
  <si>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</si>
  <si>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</si>
  <si>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</si>
  <si>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</si>
  <si>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</si>
  <si>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</si>
  <si>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</si>
  <si>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</si>
  <si>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</si>
  <si>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</si>
  <si>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</si>
  <si>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</si>
  <si>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</si>
  <si>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</si>
  <si>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</si>
  <si>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</si>
  <si>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</si>
  <si>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</si>
  <si>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</si>
  <si>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</si>
  <si>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</si>
  <si>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</si>
  <si>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</si>
  <si>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</si>
  <si>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</si>
  <si>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</si>
  <si>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</si>
  <si>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</si>
  <si>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</si>
  <si>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</si>
  <si>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</si>
  <si>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</si>
  <si>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</si>
  <si>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</si>
  <si>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</si>
  <si>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</si>
  <si>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</si>
  <si>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</si>
  <si>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</si>
  <si>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</si>
  <si>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</si>
  <si>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</si>
  <si>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</si>
  <si>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</si>
  <si>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</si>
  <si>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</si>
  <si>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</si>
  <si>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</si>
  <si>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</si>
  <si>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</si>
  <si>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</si>
  <si>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</si>
  <si>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</si>
  <si>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</si>
  <si>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</si>
  <si>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</si>
  <si>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</si>
  <si>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</si>
  <si>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</si>
  <si>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</si>
  <si>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</si>
  <si>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</si>
  <si>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</si>
  <si>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</si>
  <si>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</si>
  <si>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</si>
  <si>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</si>
  <si>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</si>
  <si>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</si>
  <si>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</si>
  <si>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</si>
  <si>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</si>
  <si>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</si>
  <si>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</si>
  <si>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</si>
  <si>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</si>
  <si>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</si>
  <si>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</si>
  <si>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</si>
  <si>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</si>
  <si>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</si>
  <si>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</si>
  <si>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</si>
  <si>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</si>
  <si>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</si>
  <si>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</si>
  <si>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</si>
  <si>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</si>
  <si>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</si>
  <si>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</si>
  <si>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</si>
  <si>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</si>
  <si>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</si>
  <si>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</si>
  <si>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</si>
  <si>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</si>
  <si>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</si>
  <si>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</si>
  <si>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</si>
  <si>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</si>
  <si>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</si>
  <si>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</si>
  <si>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</si>
  <si>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</si>
  <si>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</si>
  <si>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</si>
  <si>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</si>
  <si>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</si>
  <si>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</si>
  <si>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</si>
  <si>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</si>
  <si>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</si>
  <si>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</si>
  <si>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</si>
  <si>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</si>
  <si>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</si>
  <si>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</si>
  <si>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</si>
  <si>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</si>
  <si>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</si>
  <si>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</si>
  <si>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</si>
  <si>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</si>
  <si>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</si>
  <si>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</si>
  <si>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</si>
  <si>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</si>
  <si>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</si>
  <si>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</si>
  <si>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</si>
  <si>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</si>
  <si>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</si>
  <si>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</si>
  <si>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</si>
  <si>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</si>
  <si>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</si>
  <si>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</si>
  <si>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</si>
  <si>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</si>
  <si>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</si>
  <si>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</si>
  <si>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</si>
  <si>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</si>
  <si>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</si>
  <si>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</si>
  <si>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</si>
  <si>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</si>
  <si>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</si>
  <si>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</si>
  <si>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</si>
  <si>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</si>
  <si>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</si>
  <si>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</si>
  <si>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</si>
  <si>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</si>
  <si>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</si>
  <si>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</si>
  <si>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</si>
  <si>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</si>
  <si>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</si>
  <si>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</si>
  <si>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</si>
  <si>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</si>
  <si>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</si>
  <si>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</si>
  <si>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</si>
  <si>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</si>
  <si>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</si>
  <si>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</si>
  <si>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</si>
  <si>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</si>
  <si>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</si>
  <si>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</si>
  <si>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</si>
  <si>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</si>
  <si>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</si>
  <si>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</si>
  <si>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</si>
  <si>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</si>
  <si>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</si>
  <si>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</si>
  <si>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</si>
  <si>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</si>
  <si>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</si>
  <si>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</si>
  <si>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</si>
  <si>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</si>
  <si>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</si>
  <si>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</si>
  <si>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</si>
  <si>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</si>
  <si>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</si>
  <si>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</si>
  <si>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</si>
  <si>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</si>
  <si>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</si>
  <si>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</si>
  <si>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</si>
  <si>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</si>
  <si>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</si>
  <si>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</si>
  <si>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</si>
  <si>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</si>
  <si>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</si>
  <si>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</si>
  <si>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</si>
  <si>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</si>
  <si>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</si>
  <si>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</si>
  <si>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</si>
  <si>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</si>
  <si>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</si>
  <si>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</si>
  <si>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</si>
  <si>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</si>
  <si>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</si>
  <si>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</si>
  <si>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</si>
  <si>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</si>
  <si>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</si>
  <si>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</si>
  <si>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</si>
  <si>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</si>
  <si>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</si>
  <si>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</si>
  <si>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</si>
  <si>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</si>
  <si>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</si>
  <si>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</si>
  <si>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</si>
  <si>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</si>
  <si>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</si>
  <si>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</si>
  <si>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</si>
  <si>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</si>
  <si>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</si>
  <si>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</si>
  <si>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</si>
  <si>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</si>
  <si>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</si>
  <si>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</si>
  <si>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</si>
  <si>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</si>
  <si>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</si>
  <si>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</si>
  <si>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</si>
  <si>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</si>
  <si>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</si>
  <si>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</si>
  <si>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</si>
  <si>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</si>
  <si>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</si>
  <si>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</si>
  <si>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</si>
  <si>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</si>
  <si>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</si>
  <si>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</si>
  <si>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</si>
  <si>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</si>
  <si>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</si>
  <si>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</si>
  <si>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</si>
  <si>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</si>
  <si>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</si>
  <si>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</si>
  <si>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</si>
  <si>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</si>
  <si>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</si>
  <si>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</si>
  <si>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</si>
  <si>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</si>
  <si>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</si>
  <si>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</si>
  <si>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</si>
  <si>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</si>
  <si>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</si>
  <si>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</si>
  <si>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</si>
  <si>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</si>
  <si>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</si>
  <si>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</si>
  <si>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</si>
  <si>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</si>
  <si>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</si>
  <si>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</si>
  <si>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</si>
  <si>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</si>
  <si>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</si>
  <si>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</si>
  <si>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</si>
  <si>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</si>
  <si>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</si>
  <si>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</si>
  <si>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</si>
  <si>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</si>
  <si>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</si>
  <si>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</si>
  <si>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</si>
  <si>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</si>
  <si>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</si>
  <si>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</si>
  <si>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</si>
  <si>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</si>
  <si>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</si>
  <si>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</si>
  <si>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</si>
  <si>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</si>
  <si>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</si>
  <si>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</si>
  <si>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</si>
  <si>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</si>
  <si>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</si>
  <si>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</si>
  <si>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</si>
  <si>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</si>
  <si>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</si>
  <si>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</si>
  <si>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</si>
  <si>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</si>
  <si>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</si>
  <si>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</si>
  <si>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</si>
  <si>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</si>
  <si>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</si>
  <si>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</si>
  <si>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</si>
  <si>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</si>
  <si>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</si>
  <si>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</si>
  <si>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</si>
  <si>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</si>
  <si>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</si>
  <si>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</si>
  <si>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</si>
  <si>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</si>
  <si>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</si>
  <si>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</si>
  <si>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</si>
  <si>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</si>
  <si>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</si>
  <si>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</si>
  <si>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</si>
  <si>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</si>
  <si>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</si>
  <si>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</si>
  <si>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</si>
  <si>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</si>
  <si>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</si>
  <si>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</si>
  <si>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</si>
  <si>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</si>
  <si>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</si>
  <si>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</si>
  <si>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</si>
  <si>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</si>
  <si>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</si>
  <si>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</si>
  <si>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</si>
  <si>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</si>
  <si>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</si>
  <si>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</si>
  <si>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</si>
  <si>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</si>
  <si>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</si>
  <si>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</si>
  <si>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</si>
  <si>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</si>
  <si>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</si>
  <si>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</si>
  <si>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</si>
  <si>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</si>
  <si>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</si>
  <si>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</si>
  <si>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</si>
  <si>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</si>
  <si>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</si>
  <si>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</si>
  <si>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</si>
  <si>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</si>
  <si>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</si>
  <si>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</si>
  <si>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</si>
  <si>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</si>
  <si>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</si>
  <si>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</si>
  <si>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</si>
  <si>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</si>
  <si>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</si>
  <si>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</si>
  <si>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</si>
  <si>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</si>
  <si>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</si>
  <si>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</si>
  <si>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</si>
  <si>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</si>
  <si>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</si>
  <si>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</si>
  <si>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</si>
  <si>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</si>
  <si>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</si>
  <si>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</si>
  <si>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</si>
  <si>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</si>
  <si>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</si>
  <si>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</si>
  <si>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</si>
  <si>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</si>
  <si>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</si>
  <si>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</si>
  <si>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</si>
  <si>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</si>
  <si>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</si>
  <si>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</si>
  <si>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</si>
  <si>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</si>
  <si>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</si>
  <si>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</si>
  <si>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</si>
  <si>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</si>
  <si>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</si>
  <si>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</si>
  <si>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</si>
  <si>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</si>
  <si>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</si>
  <si>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</si>
  <si>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</si>
  <si>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</si>
  <si>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</si>
  <si>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</si>
  <si>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</si>
  <si>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</si>
  <si>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</si>
  <si>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</si>
  <si>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</si>
  <si>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</si>
  <si>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</si>
  <si>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</si>
  <si>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</si>
  <si>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</si>
  <si>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</si>
  <si>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</si>
  <si>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</si>
  <si>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</si>
  <si>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</si>
  <si>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</si>
  <si>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</si>
  <si>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</si>
  <si>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</si>
  <si>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</si>
  <si>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</si>
  <si>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</si>
  <si>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</si>
  <si>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</si>
  <si>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</si>
  <si>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</si>
  <si>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</si>
  <si>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</si>
  <si>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</si>
  <si>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</si>
  <si>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</si>
  <si>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</si>
  <si>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</si>
  <si>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</si>
  <si>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</si>
  <si>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</si>
  <si>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</si>
  <si>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</si>
  <si>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</si>
  <si>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</si>
  <si>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</si>
  <si>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</si>
  <si>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</si>
  <si>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</si>
  <si>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</si>
  <si>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</si>
  <si>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</si>
  <si>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</si>
  <si>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</si>
  <si>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</si>
  <si>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</si>
  <si>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</si>
  <si>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</si>
  <si>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</si>
  <si>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</si>
  <si>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</si>
  <si>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</si>
  <si>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</si>
  <si>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</si>
  <si>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</si>
  <si>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</si>
  <si>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</si>
  <si>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</si>
  <si>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</si>
  <si>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</si>
  <si>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</si>
  <si>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</si>
  <si>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</si>
  <si>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</si>
  <si>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</si>
  <si>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</si>
  <si>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</si>
  <si>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</si>
  <si>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</si>
  <si>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</si>
  <si>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</si>
  <si>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</si>
  <si>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</si>
  <si>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</si>
  <si>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</si>
  <si>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</si>
  <si>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</si>
  <si>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</si>
  <si>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</si>
  <si>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</si>
  <si>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</si>
  <si>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</si>
  <si>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</si>
  <si>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</si>
  <si>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</si>
  <si>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</si>
  <si>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</si>
  <si>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</si>
  <si>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</si>
  <si>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</si>
  <si>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</si>
  <si>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</si>
  <si>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</si>
  <si>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</si>
  <si>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</si>
  <si>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</si>
  <si>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</si>
  <si>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</si>
  <si>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</si>
  <si>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</si>
  <si>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</si>
  <si>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</si>
  <si>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</si>
  <si>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</si>
  <si>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</si>
  <si>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</si>
  <si>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</si>
  <si>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</si>
  <si>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</si>
  <si>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</si>
  <si>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</si>
  <si>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</si>
  <si>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</si>
  <si>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</si>
  <si>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</si>
  <si>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</si>
  <si>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</si>
  <si>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</si>
  <si>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</si>
  <si>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</si>
  <si>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</si>
  <si>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</si>
  <si>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</si>
  <si>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</si>
  <si>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</si>
  <si>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</si>
  <si>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</si>
  <si>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</si>
  <si>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</si>
  <si>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</si>
  <si>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</si>
  <si>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</si>
  <si>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</si>
  <si>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</si>
  <si>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</si>
  <si>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</si>
  <si>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</si>
  <si>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</si>
  <si>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</si>
  <si>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</si>
  <si>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</si>
  <si>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</si>
  <si>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</si>
  <si>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</si>
  <si>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</si>
  <si>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</si>
  <si>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</si>
  <si>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</si>
  <si>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</si>
  <si>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</si>
  <si>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</si>
  <si>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</si>
  <si>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</si>
  <si>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</si>
  <si>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</si>
  <si>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</si>
  <si>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</si>
  <si>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</si>
  <si>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</si>
  <si>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</si>
  <si>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</si>
  <si>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</si>
  <si>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</si>
  <si>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</si>
  <si>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</si>
  <si>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</si>
  <si>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</si>
  <si>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</si>
  <si>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</si>
  <si>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</si>
  <si>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</si>
  <si>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</si>
  <si>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</si>
  <si>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</si>
  <si>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</si>
  <si>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</si>
  <si>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</si>
  <si>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</si>
  <si>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</si>
  <si>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</si>
  <si>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</si>
  <si>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</si>
  <si>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</si>
  <si>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</si>
  <si>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</si>
  <si>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</si>
  <si>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</si>
  <si>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</si>
  <si>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</si>
  <si>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</si>
  <si>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</si>
  <si>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</si>
  <si>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</si>
  <si>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</si>
  <si>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</si>
  <si>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</si>
  <si>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</si>
  <si>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</si>
  <si>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</si>
  <si>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</si>
  <si>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</si>
  <si>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</si>
  <si>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</si>
  <si>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</si>
  <si>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</si>
  <si>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</si>
  <si>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</si>
  <si>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</si>
  <si>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</si>
  <si>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</si>
  <si>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</si>
  <si>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</si>
  <si>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</si>
  <si>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</si>
  <si>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</si>
  <si>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</si>
  <si>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</si>
  <si>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</si>
  <si>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</si>
  <si>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</si>
  <si>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</si>
  <si>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</si>
  <si>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</si>
  <si>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</si>
  <si>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</si>
  <si>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</si>
  <si>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</si>
  <si>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</si>
  <si>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</si>
  <si>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</si>
  <si>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</si>
  <si>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</si>
  <si>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</si>
  <si>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</si>
  <si>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</si>
  <si>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</si>
  <si>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</si>
  <si>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</si>
  <si>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</si>
  <si>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</si>
  <si>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</si>
  <si>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</si>
  <si>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</si>
  <si>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</si>
  <si>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</si>
  <si>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</si>
  <si>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</si>
  <si>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</si>
  <si>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</si>
  <si>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</si>
  <si>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</si>
  <si>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</si>
  <si>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</si>
  <si>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</si>
  <si>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</si>
  <si>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</si>
  <si>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</si>
  <si>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</si>
  <si>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</si>
  <si>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</si>
  <si>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</si>
  <si>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</si>
  <si>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</si>
  <si>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</si>
  <si>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</si>
  <si>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</si>
  <si>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</si>
  <si>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</si>
  <si>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</si>
  <si>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</si>
  <si>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</si>
  <si>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</si>
  <si>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</si>
  <si>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</si>
  <si>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</si>
  <si>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</si>
  <si>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</si>
  <si>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</si>
  <si>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</si>
  <si>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</si>
  <si>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</si>
  <si>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</si>
  <si>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</si>
  <si>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</si>
  <si>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</si>
  <si>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</si>
  <si>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</si>
  <si>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</si>
  <si>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</si>
  <si>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</si>
  <si>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</si>
  <si>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</si>
  <si>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</si>
  <si>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</si>
  <si>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</si>
  <si>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</si>
  <si>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</si>
  <si>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</si>
  <si>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</si>
  <si>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</si>
  <si>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</si>
  <si>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</si>
  <si>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</si>
  <si>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</si>
  <si>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</si>
  <si>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</si>
  <si>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</si>
  <si>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</si>
  <si>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</si>
  <si>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</si>
  <si>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</si>
  <si>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</si>
  <si>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</si>
  <si>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</si>
  <si>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</si>
  <si>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</si>
  <si>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</si>
  <si>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</si>
  <si>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</si>
  <si>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</si>
  <si>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</si>
  <si>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</si>
  <si>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</si>
  <si>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</si>
  <si>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</si>
  <si>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</si>
  <si>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</si>
  <si>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</si>
  <si>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</si>
  <si>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</si>
  <si>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</si>
  <si>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</si>
  <si>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</si>
  <si>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</si>
  <si>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</si>
  <si>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</si>
  <si>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</si>
  <si>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</si>
  <si>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</si>
  <si>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</si>
  <si>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</si>
  <si>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</si>
  <si>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</si>
  <si>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</si>
  <si>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</si>
  <si>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</si>
  <si>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</si>
  <si>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</si>
  <si>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</si>
  <si>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</si>
  <si>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</si>
  <si>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</si>
  <si>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</si>
  <si>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</si>
  <si>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</si>
  <si>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</si>
  <si>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</si>
  <si>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</si>
  <si>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</si>
  <si>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</si>
  <si>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</si>
  <si>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</si>
  <si>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</si>
  <si>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</si>
  <si>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</si>
  <si>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</si>
  <si>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</si>
  <si>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</si>
  <si>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</si>
  <si>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</si>
  <si>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</si>
  <si>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</si>
  <si>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</si>
  <si>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</si>
  <si>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</si>
  <si>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</si>
  <si>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</si>
  <si>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</si>
  <si>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</si>
  <si>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</si>
  <si>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</si>
  <si>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</si>
  <si>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</si>
  <si>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</si>
  <si>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</si>
  <si>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</si>
  <si>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</si>
  <si>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</si>
  <si>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</si>
  <si>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</si>
  <si>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</si>
  <si>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</si>
  <si>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</si>
  <si>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</si>
  <si>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</si>
  <si>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</si>
  <si>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</si>
  <si>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</si>
  <si>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</si>
  <si>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</si>
  <si>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</si>
  <si>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</si>
  <si>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</si>
  <si>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</si>
  <si>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</si>
  <si>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</si>
  <si>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</si>
  <si>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</si>
  <si>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</si>
  <si>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</si>
  <si>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</si>
  <si>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</si>
  <si>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</si>
  <si>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</si>
  <si>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</si>
  <si>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</si>
  <si>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</si>
  <si>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</si>
  <si>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</si>
  <si>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</si>
  <si>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</si>
  <si>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</si>
  <si>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</si>
  <si>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</si>
  <si>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</si>
  <si>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</si>
  <si>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</si>
  <si>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</si>
  <si>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</si>
  <si>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</si>
  <si>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</si>
  <si>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</si>
  <si>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</si>
  <si>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</si>
  <si>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</si>
  <si>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</si>
  <si>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</si>
  <si>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</si>
  <si>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</si>
  <si>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</si>
  <si>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</si>
  <si>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</si>
  <si>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</si>
  <si>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</si>
  <si>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</si>
  <si>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</si>
  <si>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</si>
  <si>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</si>
  <si>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</si>
  <si>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</si>
  <si>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</si>
  <si>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</si>
  <si>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</si>
  <si>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</si>
  <si>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</si>
  <si>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</si>
  <si>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</si>
  <si>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</si>
  <si>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</si>
  <si>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</si>
  <si>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</si>
  <si>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</si>
  <si>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</si>
  <si>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</si>
  <si>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</si>
  <si>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</si>
  <si>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</si>
  <si>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</si>
  <si>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</si>
  <si>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</si>
  <si>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</si>
  <si>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</si>
  <si>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</si>
  <si>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</si>
  <si>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</si>
  <si>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</si>
  <si>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</si>
  <si>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</si>
  <si>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</si>
  <si>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</si>
  <si>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</si>
  <si>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</si>
  <si>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</si>
  <si>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</si>
  <si>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</si>
  <si>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</si>
  <si>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</si>
  <si>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</si>
  <si>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</si>
  <si>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</si>
  <si>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</si>
  <si>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</si>
  <si>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</si>
  <si>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</si>
  <si>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</si>
  <si>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</si>
  <si>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</si>
  <si>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</si>
  <si>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</si>
  <si>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</si>
  <si>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</si>
  <si>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</si>
  <si>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</si>
  <si>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</si>
  <si>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</si>
  <si>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</si>
  <si>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</si>
  <si>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</si>
  <si>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</si>
  <si>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</si>
  <si>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</si>
  <si>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</si>
  <si>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</si>
  <si>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</si>
  <si>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</si>
  <si>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</si>
  <si>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</si>
  <si>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</si>
  <si>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</si>
  <si>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</si>
  <si>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</si>
  <si>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</si>
  <si>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</si>
  <si>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</si>
  <si>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</si>
  <si>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</si>
  <si>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</si>
  <si>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</si>
  <si>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</si>
  <si>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</si>
  <si>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</si>
  <si>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</si>
  <si>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</si>
  <si>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</si>
  <si>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</si>
  <si>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</si>
  <si>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</si>
  <si>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</si>
  <si>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</si>
  <si>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</si>
  <si>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</si>
  <si>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</si>
  <si>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</si>
  <si>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</si>
  <si>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</si>
  <si>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</si>
  <si>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</si>
  <si>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</si>
  <si>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</si>
  <si>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</si>
  <si>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</si>
  <si>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</si>
  <si>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</si>
  <si>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</si>
  <si>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</si>
  <si>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</si>
  <si>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</si>
  <si>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</si>
  <si>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</si>
  <si>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</si>
  <si>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</si>
  <si>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</si>
  <si>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</si>
  <si>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</si>
  <si>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</si>
  <si>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</si>
  <si>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</si>
  <si>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</si>
  <si>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</si>
  <si>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</si>
  <si>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</si>
  <si>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</si>
  <si>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</si>
  <si>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</si>
  <si>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</si>
  <si>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</si>
  <si>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</si>
  <si>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</si>
  <si>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</si>
  <si>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</si>
  <si>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</si>
  <si>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</si>
  <si>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</si>
  <si>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</si>
  <si>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</si>
  <si>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</si>
  <si>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</si>
  <si>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</si>
  <si>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</si>
  <si>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</si>
  <si>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</si>
  <si>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</si>
  <si>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</si>
  <si>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</si>
  <si>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</si>
  <si>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</si>
  <si>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</si>
  <si>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</si>
  <si>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</si>
  <si>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</si>
  <si>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</si>
  <si>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</si>
  <si>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</si>
  <si>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</si>
  <si>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</si>
  <si>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</si>
  <si>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</si>
  <si>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</si>
  <si>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</si>
  <si>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</si>
  <si>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</si>
  <si>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</si>
  <si>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</si>
  <si>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</si>
  <si>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</si>
  <si>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</si>
  <si>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</si>
  <si>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</si>
  <si>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</si>
  <si>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</si>
  <si>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</si>
  <si>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</si>
  <si>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</si>
  <si>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</si>
  <si>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</si>
  <si>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</si>
  <si>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</si>
  <si>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</si>
  <si>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</si>
  <si>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</si>
  <si>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</si>
  <si>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</si>
  <si>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</si>
  <si>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</si>
  <si>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</si>
  <si>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</si>
  <si>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</si>
  <si>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</si>
  <si>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</si>
  <si>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</si>
  <si>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</si>
  <si>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</si>
  <si>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</si>
  <si>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</si>
  <si>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</si>
  <si>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</si>
  <si>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</si>
  <si>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</si>
  <si>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</si>
  <si>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</si>
  <si>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</si>
  <si>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</si>
  <si>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</si>
  <si>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</si>
  <si>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</si>
  <si>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</si>
  <si>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</si>
  <si>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</si>
  <si>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</si>
  <si>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</si>
  <si>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</si>
  <si>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</si>
  <si>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</si>
  <si>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</si>
  <si>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</si>
  <si>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</si>
  <si>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</si>
  <si>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</si>
  <si>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</si>
  <si>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</si>
  <si>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</si>
  <si>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</si>
  <si>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</si>
  <si>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</si>
  <si>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</si>
  <si>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</si>
  <si>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/img/foto/thumbs/dush-30.jpg</t>
  </si>
  <si>
    <t>/img/foto/thumbs/dush-73.jpg</t>
  </si>
  <si>
    <t>/img/foto/thumbs/polka-04.jpg</t>
  </si>
  <si>
    <t>/img/foto/thumbs/reception-05.jpg</t>
  </si>
  <si>
    <t>/img/foto/thumbs/stol-13.jpg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</si>
  <si>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</si>
  <si>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</si>
  <si>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</si>
  <si>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</si>
  <si>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</si>
  <si>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</si>
  <si>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</si>
  <si>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</si>
  <si>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</si>
  <si>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</si>
  <si>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</si>
  <si>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</si>
  <si>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</si>
  <si>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</si>
  <si>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</si>
  <si>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</si>
  <si>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</si>
  <si>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</si>
  <si>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</si>
  <si>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</si>
  <si>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</si>
  <si>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</si>
  <si>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</si>
  <si>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</si>
  <si>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</si>
  <si>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</si>
  <si>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</si>
  <si>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</si>
  <si>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</si>
  <si>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</si>
  <si>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</si>
  <si>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</si>
  <si>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</si>
  <si>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</si>
  <si>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</si>
  <si>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</si>
  <si>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/img/foto/thumbs/polka-14.jpg</t>
  </si>
  <si>
    <t>/img/foto/thumbs/bar-05.jpg</t>
  </si>
  <si>
    <t>/img/foto/thumbs/shkaf-04.jpg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</si>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</sst>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2" activePane="bottomLeft" state="frozen"/>
      <selection pane="bottomLeft" activeCell="B1" sqref="B1"/>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3277</v>
      </c>
      <c r="E1" s="7" t="s">
        <v>3283</v>
      </c>
      <c r="F1" s="7" t="s">
        <v>3</v>
      </c>
      <c r="G1" s="7" t="s">
        <v>249</v>
      </c>
      <c r="H1" s="7" t="s">
        <v>253</v>
      </c>
      <c r="I1" s="7" t="s">
        <v>250</v>
      </c>
      <c r="J1" s="7" t="s">
        <v>251</v>
      </c>
      <c r="K1" s="7" t="s">
        <v>393</v>
      </c>
      <c r="L1" s="7" t="s">
        <v>358</v>
      </c>
      <c r="M1" s="7" t="s">
        <v>359</v>
      </c>
    </row>
    <row r="2" spans="1:13" x14ac:dyDescent="0.25">
      <c r="A2" s="7">
        <v>1</v>
      </c>
      <c r="B2" s="7"/>
      <c r="C2" s="7">
        <v>0</v>
      </c>
      <c r="D2" s="7" t="s">
        <v>3273</v>
      </c>
      <c r="E2" s="7" t="s">
        <v>3284</v>
      </c>
      <c r="F2" s="7" t="s">
        <v>3328</v>
      </c>
      <c r="G2" s="7"/>
      <c r="H2" s="7" t="s">
        <v>253</v>
      </c>
      <c r="I2" s="7"/>
      <c r="J2" s="7"/>
      <c r="K2" s="7"/>
      <c r="L2" s="7" t="s">
        <v>5</v>
      </c>
      <c r="M2" s="7" t="s">
        <v>5</v>
      </c>
    </row>
    <row r="3" spans="1:13" x14ac:dyDescent="0.25">
      <c r="A3" s="7">
        <v>2</v>
      </c>
      <c r="B3" s="7">
        <v>1</v>
      </c>
      <c r="C3" s="7">
        <v>1</v>
      </c>
      <c r="D3" s="7" t="s">
        <v>3273</v>
      </c>
      <c r="E3" s="7" t="s">
        <v>3284</v>
      </c>
      <c r="F3" s="7" t="s">
        <v>7</v>
      </c>
      <c r="G3" s="7" t="s">
        <v>6</v>
      </c>
      <c r="H3" s="7" t="s">
        <v>253</v>
      </c>
      <c r="I3" s="7"/>
      <c r="J3" s="7"/>
      <c r="K3" s="7"/>
      <c r="L3" s="7" t="s">
        <v>7</v>
      </c>
      <c r="M3" s="7" t="s">
        <v>7</v>
      </c>
    </row>
    <row r="4" spans="1:13" x14ac:dyDescent="0.25">
      <c r="A4" s="7">
        <v>3</v>
      </c>
      <c r="B4" s="7">
        <v>1</v>
      </c>
      <c r="C4" s="7">
        <v>1</v>
      </c>
      <c r="D4" s="7" t="s">
        <v>3273</v>
      </c>
      <c r="E4" s="7" t="s">
        <v>3285</v>
      </c>
      <c r="F4" s="7" t="s">
        <v>271</v>
      </c>
      <c r="G4" s="7" t="s">
        <v>282</v>
      </c>
      <c r="H4" s="7" t="s">
        <v>276</v>
      </c>
      <c r="I4" s="7"/>
      <c r="J4" s="7"/>
      <c r="K4" s="7"/>
      <c r="L4" s="7" t="s">
        <v>271</v>
      </c>
      <c r="M4" s="7" t="s">
        <v>271</v>
      </c>
    </row>
    <row r="5" spans="1:13" x14ac:dyDescent="0.25">
      <c r="A5" s="7">
        <v>4</v>
      </c>
      <c r="B5" s="7">
        <v>1</v>
      </c>
      <c r="C5" s="7">
        <v>1</v>
      </c>
      <c r="D5" s="7" t="s">
        <v>268</v>
      </c>
      <c r="E5" s="7" t="s">
        <v>3286</v>
      </c>
      <c r="F5" s="7" t="s">
        <v>262</v>
      </c>
      <c r="G5" s="7" t="s">
        <v>268</v>
      </c>
      <c r="H5" s="7" t="s">
        <v>272</v>
      </c>
      <c r="I5" s="7"/>
      <c r="J5" s="7"/>
      <c r="K5" s="7"/>
      <c r="L5" s="7" t="s">
        <v>262</v>
      </c>
      <c r="M5" s="7" t="s">
        <v>262</v>
      </c>
    </row>
    <row r="6" spans="1:13" x14ac:dyDescent="0.25">
      <c r="A6" s="7">
        <v>5</v>
      </c>
      <c r="B6" s="7">
        <v>1</v>
      </c>
      <c r="C6" s="7">
        <v>1</v>
      </c>
      <c r="D6" s="7" t="s">
        <v>3274</v>
      </c>
      <c r="E6" s="7" t="s">
        <v>3286</v>
      </c>
      <c r="F6" s="7" t="s">
        <v>260</v>
      </c>
      <c r="G6" s="7" t="s">
        <v>265</v>
      </c>
      <c r="H6" s="7" t="s">
        <v>275</v>
      </c>
      <c r="I6" s="7"/>
      <c r="J6" s="7"/>
      <c r="K6" s="7"/>
      <c r="L6" s="7" t="s">
        <v>260</v>
      </c>
      <c r="M6" s="7" t="s">
        <v>260</v>
      </c>
    </row>
    <row r="7" spans="1:13" x14ac:dyDescent="0.25">
      <c r="A7" s="7">
        <v>6</v>
      </c>
      <c r="B7" s="7">
        <v>5</v>
      </c>
      <c r="C7" s="7">
        <v>2</v>
      </c>
      <c r="D7" s="7" t="s">
        <v>3274</v>
      </c>
      <c r="E7" s="7" t="s">
        <v>3286</v>
      </c>
      <c r="F7" s="7" t="s">
        <v>18</v>
      </c>
      <c r="G7" s="7" t="s">
        <v>3282</v>
      </c>
      <c r="H7" s="7" t="s">
        <v>3282</v>
      </c>
      <c r="I7" s="7"/>
      <c r="J7" s="7" t="s">
        <v>3329</v>
      </c>
      <c r="K7" s="7"/>
      <c r="L7" s="7" t="s">
        <v>19</v>
      </c>
      <c r="M7" s="7" t="s">
        <v>19</v>
      </c>
    </row>
    <row r="8" spans="1:13" x14ac:dyDescent="0.25">
      <c r="A8" s="7">
        <v>7</v>
      </c>
      <c r="B8" s="7">
        <v>5</v>
      </c>
      <c r="C8" s="7">
        <v>2</v>
      </c>
      <c r="D8" s="7" t="s">
        <v>3274</v>
      </c>
      <c r="E8" s="7" t="s">
        <v>3286</v>
      </c>
      <c r="F8" s="7" t="s">
        <v>248</v>
      </c>
      <c r="G8" s="7" t="s">
        <v>247</v>
      </c>
      <c r="H8" s="7" t="s">
        <v>3330</v>
      </c>
      <c r="I8" s="7"/>
      <c r="J8" s="7" t="s">
        <v>3331</v>
      </c>
      <c r="K8" s="7"/>
      <c r="L8" s="7" t="s">
        <v>248</v>
      </c>
      <c r="M8" s="7" t="s">
        <v>248</v>
      </c>
    </row>
    <row r="9" spans="1:13" x14ac:dyDescent="0.25">
      <c r="A9" s="7">
        <v>8</v>
      </c>
      <c r="B9" s="7">
        <v>5</v>
      </c>
      <c r="C9" s="7">
        <v>2</v>
      </c>
      <c r="D9" s="7" t="s">
        <v>3274</v>
      </c>
      <c r="E9" s="7" t="s">
        <v>3286</v>
      </c>
      <c r="F9" s="7" t="s">
        <v>42</v>
      </c>
      <c r="G9" s="7" t="s">
        <v>43</v>
      </c>
      <c r="H9" s="7" t="s">
        <v>3332</v>
      </c>
      <c r="I9" s="7"/>
      <c r="J9" s="7" t="s">
        <v>3333</v>
      </c>
      <c r="K9" s="7"/>
      <c r="L9" s="7" t="s">
        <v>42</v>
      </c>
      <c r="M9" s="7" t="s">
        <v>42</v>
      </c>
    </row>
    <row r="10" spans="1:13" x14ac:dyDescent="0.25">
      <c r="A10" s="7">
        <v>9</v>
      </c>
      <c r="B10" s="7">
        <v>1</v>
      </c>
      <c r="C10" s="7">
        <v>1</v>
      </c>
      <c r="D10" s="7" t="s">
        <v>3273</v>
      </c>
      <c r="E10" s="7" t="s">
        <v>3284</v>
      </c>
      <c r="F10" s="7" t="s">
        <v>9</v>
      </c>
      <c r="G10" s="7" t="s">
        <v>8</v>
      </c>
      <c r="H10" s="7" t="s">
        <v>253</v>
      </c>
      <c r="I10" s="7"/>
      <c r="J10" s="7"/>
      <c r="K10" s="7"/>
      <c r="L10" s="7" t="s">
        <v>9</v>
      </c>
      <c r="M10" s="7" t="s">
        <v>9</v>
      </c>
    </row>
    <row r="11" spans="1:13" x14ac:dyDescent="0.25">
      <c r="A11" s="7">
        <v>10</v>
      </c>
      <c r="B11" s="7">
        <v>1</v>
      </c>
      <c r="C11" s="7">
        <v>1</v>
      </c>
      <c r="D11" s="7" t="s">
        <v>3273</v>
      </c>
      <c r="E11" s="7" t="s">
        <v>3285</v>
      </c>
      <c r="F11" s="7" t="s">
        <v>11</v>
      </c>
      <c r="G11" s="7" t="s">
        <v>10</v>
      </c>
      <c r="H11" s="7" t="s">
        <v>277</v>
      </c>
      <c r="I11" s="7"/>
      <c r="J11" s="7"/>
      <c r="K11" s="7"/>
      <c r="L11" s="7" t="s">
        <v>11</v>
      </c>
      <c r="M11" s="7" t="s">
        <v>11</v>
      </c>
    </row>
    <row r="12" spans="1:13" x14ac:dyDescent="0.25">
      <c r="A12" s="7">
        <v>11</v>
      </c>
      <c r="B12" s="7">
        <v>10</v>
      </c>
      <c r="C12" s="7">
        <v>2</v>
      </c>
      <c r="D12" s="7" t="s">
        <v>3273</v>
      </c>
      <c r="E12" s="7" t="s">
        <v>3285</v>
      </c>
      <c r="F12" s="7" t="s">
        <v>20</v>
      </c>
      <c r="G12" s="7" t="s">
        <v>21</v>
      </c>
      <c r="H12" s="7" t="s">
        <v>253</v>
      </c>
      <c r="I12" s="7"/>
      <c r="J12" s="7" t="s">
        <v>290</v>
      </c>
      <c r="K12" s="7"/>
      <c r="L12" s="7" t="s">
        <v>20</v>
      </c>
      <c r="M12" s="7" t="s">
        <v>20</v>
      </c>
    </row>
    <row r="13" spans="1:13" x14ac:dyDescent="0.25">
      <c r="A13" s="7">
        <v>12</v>
      </c>
      <c r="B13" s="7">
        <v>10</v>
      </c>
      <c r="C13" s="7">
        <v>2</v>
      </c>
      <c r="D13" s="7" t="s">
        <v>3273</v>
      </c>
      <c r="E13" s="7" t="s">
        <v>3285</v>
      </c>
      <c r="F13" s="7" t="s">
        <v>22</v>
      </c>
      <c r="G13" s="7" t="s">
        <v>23</v>
      </c>
      <c r="H13" s="7" t="s">
        <v>253</v>
      </c>
      <c r="I13" s="7"/>
      <c r="J13" s="7" t="s">
        <v>291</v>
      </c>
      <c r="K13" s="7"/>
      <c r="L13" s="7" t="s">
        <v>22</v>
      </c>
      <c r="M13" s="7" t="s">
        <v>22</v>
      </c>
    </row>
    <row r="14" spans="1:13" x14ac:dyDescent="0.25">
      <c r="A14" s="7">
        <v>13</v>
      </c>
      <c r="B14" s="7">
        <v>10</v>
      </c>
      <c r="C14" s="7">
        <v>2</v>
      </c>
      <c r="D14" s="7" t="s">
        <v>3273</v>
      </c>
      <c r="E14" s="7" t="s">
        <v>3285</v>
      </c>
      <c r="F14" s="7" t="s">
        <v>24</v>
      </c>
      <c r="G14" s="7" t="s">
        <v>25</v>
      </c>
      <c r="H14" s="7" t="s">
        <v>253</v>
      </c>
      <c r="I14" s="7"/>
      <c r="J14" s="7" t="s">
        <v>292</v>
      </c>
      <c r="K14" s="7"/>
      <c r="L14" s="7" t="s">
        <v>24</v>
      </c>
      <c r="M14" s="7" t="s">
        <v>24</v>
      </c>
    </row>
    <row r="15" spans="1:13" x14ac:dyDescent="0.25">
      <c r="A15" s="7">
        <v>14</v>
      </c>
      <c r="B15" s="7">
        <v>10</v>
      </c>
      <c r="C15" s="7">
        <v>2</v>
      </c>
      <c r="D15" s="7" t="s">
        <v>3273</v>
      </c>
      <c r="E15" s="7" t="s">
        <v>3285</v>
      </c>
      <c r="F15" s="7" t="s">
        <v>26</v>
      </c>
      <c r="G15" s="7" t="s">
        <v>27</v>
      </c>
      <c r="H15" s="7" t="s">
        <v>253</v>
      </c>
      <c r="I15" s="7"/>
      <c r="J15" s="7" t="s">
        <v>293</v>
      </c>
      <c r="K15" s="7"/>
      <c r="L15" s="7" t="s">
        <v>26</v>
      </c>
      <c r="M15" s="7" t="s">
        <v>26</v>
      </c>
    </row>
    <row r="16" spans="1:13" x14ac:dyDescent="0.25">
      <c r="A16" s="7">
        <v>15</v>
      </c>
      <c r="B16" s="7">
        <v>10</v>
      </c>
      <c r="C16" s="7">
        <v>2</v>
      </c>
      <c r="D16" s="7" t="s">
        <v>3273</v>
      </c>
      <c r="E16" s="7" t="s">
        <v>3285</v>
      </c>
      <c r="F16" s="7" t="s">
        <v>28</v>
      </c>
      <c r="G16" s="7" t="s">
        <v>29</v>
      </c>
      <c r="H16" s="7" t="s">
        <v>253</v>
      </c>
      <c r="I16" s="7"/>
      <c r="J16" s="7" t="s">
        <v>294</v>
      </c>
      <c r="K16" s="7"/>
      <c r="L16" s="7" t="s">
        <v>28</v>
      </c>
      <c r="M16" s="7" t="s">
        <v>28</v>
      </c>
    </row>
    <row r="17" spans="1:13" x14ac:dyDescent="0.25">
      <c r="A17" s="7">
        <v>16</v>
      </c>
      <c r="B17" s="7">
        <v>10</v>
      </c>
      <c r="C17" s="7">
        <v>2</v>
      </c>
      <c r="D17" s="7" t="s">
        <v>3273</v>
      </c>
      <c r="E17" s="7" t="s">
        <v>3285</v>
      </c>
      <c r="F17" s="7" t="s">
        <v>30</v>
      </c>
      <c r="G17" s="7" t="s">
        <v>31</v>
      </c>
      <c r="H17" s="7" t="s">
        <v>253</v>
      </c>
      <c r="I17" s="7"/>
      <c r="J17" s="7" t="s">
        <v>3596</v>
      </c>
      <c r="K17" s="7"/>
      <c r="L17" s="7" t="s">
        <v>30</v>
      </c>
      <c r="M17" s="7" t="s">
        <v>30</v>
      </c>
    </row>
    <row r="18" spans="1:13" x14ac:dyDescent="0.25">
      <c r="A18" s="7">
        <v>17</v>
      </c>
      <c r="B18" s="7">
        <v>10</v>
      </c>
      <c r="C18" s="7">
        <v>2</v>
      </c>
      <c r="D18" s="7" t="s">
        <v>3273</v>
      </c>
      <c r="E18" s="7" t="s">
        <v>3285</v>
      </c>
      <c r="F18" s="7" t="s">
        <v>242</v>
      </c>
      <c r="G18" s="7" t="s">
        <v>243</v>
      </c>
      <c r="H18" s="7" t="s">
        <v>253</v>
      </c>
      <c r="I18" s="7"/>
      <c r="J18" s="7" t="s">
        <v>3597</v>
      </c>
      <c r="K18" s="7"/>
      <c r="L18" s="7" t="s">
        <v>242</v>
      </c>
      <c r="M18" s="7" t="s">
        <v>242</v>
      </c>
    </row>
    <row r="19" spans="1:13" x14ac:dyDescent="0.25">
      <c r="A19" s="7">
        <v>18</v>
      </c>
      <c r="B19" s="7">
        <v>10</v>
      </c>
      <c r="C19" s="7">
        <v>2</v>
      </c>
      <c r="D19" s="7" t="s">
        <v>3273</v>
      </c>
      <c r="E19" s="7" t="s">
        <v>3285</v>
      </c>
      <c r="F19" s="7" t="s">
        <v>32</v>
      </c>
      <c r="G19" s="7" t="s">
        <v>33</v>
      </c>
      <c r="H19" s="7" t="s">
        <v>253</v>
      </c>
      <c r="I19" s="7"/>
      <c r="J19" s="7" t="s">
        <v>295</v>
      </c>
      <c r="K19" s="7"/>
      <c r="L19" s="7" t="s">
        <v>32</v>
      </c>
      <c r="M19" s="7" t="s">
        <v>32</v>
      </c>
    </row>
    <row r="20" spans="1:13" x14ac:dyDescent="0.25">
      <c r="A20" s="7">
        <v>20</v>
      </c>
      <c r="B20" s="7">
        <v>1</v>
      </c>
      <c r="C20" s="7">
        <v>1</v>
      </c>
      <c r="D20" s="7" t="s">
        <v>3273</v>
      </c>
      <c r="E20" s="7" t="s">
        <v>3286</v>
      </c>
      <c r="F20" s="7" t="s">
        <v>264</v>
      </c>
      <c r="G20" s="7" t="s">
        <v>266</v>
      </c>
      <c r="H20" s="7" t="s">
        <v>274</v>
      </c>
      <c r="I20" s="7" t="s">
        <v>16</v>
      </c>
      <c r="J20" s="7"/>
      <c r="K20" s="7" t="s">
        <v>3614</v>
      </c>
      <c r="L20" s="7" t="s">
        <v>3615</v>
      </c>
      <c r="M20" s="7" t="s">
        <v>3616</v>
      </c>
    </row>
    <row r="21" spans="1:13" x14ac:dyDescent="0.25">
      <c r="A21" s="7">
        <v>21</v>
      </c>
      <c r="B21" s="7">
        <v>20</v>
      </c>
      <c r="C21" s="7">
        <v>2</v>
      </c>
      <c r="D21" s="7" t="s">
        <v>3273</v>
      </c>
      <c r="E21" s="7" t="s">
        <v>3286</v>
      </c>
      <c r="F21" s="7" t="s">
        <v>34</v>
      </c>
      <c r="G21" s="7" t="s">
        <v>35</v>
      </c>
      <c r="H21" s="7" t="s">
        <v>253</v>
      </c>
      <c r="I21" s="7"/>
      <c r="J21" s="7" t="s">
        <v>296</v>
      </c>
      <c r="K21" s="7"/>
      <c r="L21" s="7" t="s">
        <v>34</v>
      </c>
      <c r="M21" s="7" t="s">
        <v>34</v>
      </c>
    </row>
    <row r="22" spans="1:13" x14ac:dyDescent="0.25">
      <c r="A22" s="7">
        <v>22</v>
      </c>
      <c r="B22" s="7">
        <v>20</v>
      </c>
      <c r="C22" s="7">
        <v>2</v>
      </c>
      <c r="D22" s="7" t="s">
        <v>3273</v>
      </c>
      <c r="E22" s="7" t="s">
        <v>3286</v>
      </c>
      <c r="F22" s="7" t="s">
        <v>36</v>
      </c>
      <c r="G22" s="7" t="s">
        <v>37</v>
      </c>
      <c r="H22" s="7" t="s">
        <v>253</v>
      </c>
      <c r="I22" s="7"/>
      <c r="J22" s="7" t="s">
        <v>297</v>
      </c>
      <c r="K22" s="7"/>
      <c r="L22" s="7" t="s">
        <v>36</v>
      </c>
      <c r="M22" s="7" t="s">
        <v>36</v>
      </c>
    </row>
    <row r="23" spans="1:13" x14ac:dyDescent="0.25">
      <c r="A23" s="7">
        <v>23</v>
      </c>
      <c r="B23" s="7">
        <v>20</v>
      </c>
      <c r="C23" s="7">
        <v>2</v>
      </c>
      <c r="D23" s="7" t="s">
        <v>3273</v>
      </c>
      <c r="E23" s="7" t="s">
        <v>3286</v>
      </c>
      <c r="F23" s="7" t="s">
        <v>38</v>
      </c>
      <c r="G23" s="7" t="s">
        <v>39</v>
      </c>
      <c r="H23" s="7" t="s">
        <v>253</v>
      </c>
      <c r="I23" s="7"/>
      <c r="J23" s="7" t="s">
        <v>298</v>
      </c>
      <c r="K23" s="7"/>
      <c r="L23" s="7" t="s">
        <v>38</v>
      </c>
      <c r="M23" s="7" t="s">
        <v>38</v>
      </c>
    </row>
    <row r="24" spans="1:13" x14ac:dyDescent="0.25">
      <c r="A24" s="7">
        <v>24</v>
      </c>
      <c r="B24" s="7">
        <v>20</v>
      </c>
      <c r="C24" s="7">
        <v>2</v>
      </c>
      <c r="D24" s="7" t="s">
        <v>3273</v>
      </c>
      <c r="E24" s="7" t="s">
        <v>3286</v>
      </c>
      <c r="F24" s="7" t="s">
        <v>40</v>
      </c>
      <c r="G24" s="7" t="s">
        <v>41</v>
      </c>
      <c r="H24" s="7" t="s">
        <v>253</v>
      </c>
      <c r="I24" s="7"/>
      <c r="J24" s="7" t="s">
        <v>299</v>
      </c>
      <c r="K24" s="7"/>
      <c r="L24" s="7" t="s">
        <v>40</v>
      </c>
      <c r="M24" s="7" t="s">
        <v>40</v>
      </c>
    </row>
    <row r="25" spans="1:13" s="16" customFormat="1" x14ac:dyDescent="0.25">
      <c r="A25" s="16">
        <v>25</v>
      </c>
      <c r="B25" s="16">
        <v>1</v>
      </c>
      <c r="C25" s="16">
        <v>1</v>
      </c>
      <c r="D25" s="16" t="s">
        <v>3273</v>
      </c>
      <c r="E25" s="16" t="s">
        <v>3285</v>
      </c>
      <c r="F25" s="16" t="s">
        <v>13</v>
      </c>
      <c r="G25" s="16" t="s">
        <v>12</v>
      </c>
      <c r="H25" s="16" t="s">
        <v>278</v>
      </c>
      <c r="L25" s="16" t="s">
        <v>13</v>
      </c>
      <c r="M25" s="16" t="s">
        <v>13</v>
      </c>
    </row>
    <row r="26" spans="1:13" s="18" customFormat="1" x14ac:dyDescent="0.25">
      <c r="A26" s="18">
        <v>26</v>
      </c>
      <c r="B26" s="18">
        <f>A25</f>
        <v>25</v>
      </c>
      <c r="C26" s="18">
        <v>2</v>
      </c>
      <c r="D26" s="18" t="s">
        <v>3276</v>
      </c>
      <c r="E26" s="18" t="s">
        <v>3285</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3276</v>
      </c>
      <c r="E27" s="20" t="s">
        <v>3285</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3276</v>
      </c>
      <c r="E28" s="16" t="s">
        <v>3285</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3276</v>
      </c>
      <c r="E29" s="16" t="s">
        <v>3285</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3276</v>
      </c>
      <c r="E30" s="16" t="s">
        <v>3285</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3276</v>
      </c>
      <c r="E31" s="16" t="s">
        <v>3285</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3276</v>
      </c>
      <c r="E32" s="16" t="s">
        <v>3285</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3276</v>
      </c>
      <c r="E33" s="16" t="s">
        <v>3285</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3276</v>
      </c>
      <c r="E34" s="20" t="s">
        <v>3285</v>
      </c>
      <c r="F34" s="20" t="s">
        <v>69</v>
      </c>
      <c r="G34" s="20" t="s">
        <v>70</v>
      </c>
      <c r="H34" s="20" t="s">
        <v>253</v>
      </c>
      <c r="I34" s="21" t="s">
        <v>3334</v>
      </c>
      <c r="J34" s="20" t="s">
        <v>306</v>
      </c>
      <c r="L34" s="20" t="s">
        <v>72</v>
      </c>
      <c r="M34" s="20" t="s">
        <v>71</v>
      </c>
    </row>
    <row r="35" spans="1:13" s="16" customFormat="1" x14ac:dyDescent="0.25">
      <c r="A35" s="16">
        <v>35</v>
      </c>
      <c r="B35" s="16">
        <f>A34</f>
        <v>34</v>
      </c>
      <c r="C35" s="16">
        <v>4</v>
      </c>
      <c r="D35" s="16" t="s">
        <v>3276</v>
      </c>
      <c r="E35" s="16" t="s">
        <v>3285</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3276</v>
      </c>
      <c r="E36" s="16" t="s">
        <v>3285</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3276</v>
      </c>
      <c r="E37" s="16" t="s">
        <v>3285</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3276</v>
      </c>
      <c r="E38" s="16" t="s">
        <v>3285</v>
      </c>
      <c r="F38" s="16" t="s">
        <v>82</v>
      </c>
      <c r="G38" s="16" t="s">
        <v>83</v>
      </c>
      <c r="H38" s="16" t="s">
        <v>253</v>
      </c>
      <c r="J38" s="16" t="s">
        <v>310</v>
      </c>
      <c r="L38" s="16" t="s">
        <v>72</v>
      </c>
      <c r="M38" s="16" t="s">
        <v>71</v>
      </c>
    </row>
    <row r="39" spans="1:13" s="16" customFormat="1" x14ac:dyDescent="0.25">
      <c r="A39" s="16">
        <v>39</v>
      </c>
      <c r="B39" s="16">
        <f>A34</f>
        <v>34</v>
      </c>
      <c r="C39" s="16">
        <v>4</v>
      </c>
      <c r="D39" s="16" t="s">
        <v>3276</v>
      </c>
      <c r="E39" s="16" t="s">
        <v>3285</v>
      </c>
      <c r="F39" s="16" t="s">
        <v>84</v>
      </c>
      <c r="G39" s="16" t="s">
        <v>284</v>
      </c>
      <c r="H39" s="16" t="s">
        <v>253</v>
      </c>
      <c r="J39" s="16" t="s">
        <v>311</v>
      </c>
      <c r="L39" s="16" t="s">
        <v>72</v>
      </c>
      <c r="M39" s="16" t="s">
        <v>71</v>
      </c>
    </row>
    <row r="40" spans="1:13" s="16" customFormat="1" x14ac:dyDescent="0.25">
      <c r="A40" s="16">
        <v>40</v>
      </c>
      <c r="B40" s="16">
        <f>A34</f>
        <v>34</v>
      </c>
      <c r="C40" s="16">
        <v>4</v>
      </c>
      <c r="D40" s="16" t="s">
        <v>3276</v>
      </c>
      <c r="E40" s="16" t="s">
        <v>3285</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3276</v>
      </c>
      <c r="E41" s="16" t="s">
        <v>3285</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3276</v>
      </c>
      <c r="E42" s="20" t="s">
        <v>3285</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3276</v>
      </c>
      <c r="E43" s="16" t="s">
        <v>3285</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3276</v>
      </c>
      <c r="E44" s="16" t="s">
        <v>3285</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3276</v>
      </c>
      <c r="E45" s="16" t="s">
        <v>3285</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3276</v>
      </c>
      <c r="E46" s="16" t="s">
        <v>3285</v>
      </c>
      <c r="F46" s="16" t="s">
        <v>3395</v>
      </c>
      <c r="G46" s="16" t="s">
        <v>3396</v>
      </c>
      <c r="H46" s="16" t="s">
        <v>253</v>
      </c>
      <c r="I46" s="16" t="s">
        <v>3398</v>
      </c>
      <c r="J46" s="16" t="s">
        <v>3397</v>
      </c>
      <c r="L46" s="16" t="s">
        <v>3399</v>
      </c>
      <c r="M46" s="16" t="s">
        <v>3400</v>
      </c>
    </row>
    <row r="47" spans="1:13" s="20" customFormat="1" x14ac:dyDescent="0.25">
      <c r="A47" s="20">
        <v>47</v>
      </c>
      <c r="B47" s="20">
        <f>A26</f>
        <v>26</v>
      </c>
      <c r="C47" s="20">
        <v>3</v>
      </c>
      <c r="D47" s="20" t="s">
        <v>3276</v>
      </c>
      <c r="E47" s="20" t="s">
        <v>3285</v>
      </c>
      <c r="F47" s="20" t="s">
        <v>107</v>
      </c>
      <c r="G47" s="20" t="s">
        <v>108</v>
      </c>
      <c r="H47" s="20" t="s">
        <v>253</v>
      </c>
      <c r="I47" s="21" t="s">
        <v>3335</v>
      </c>
      <c r="J47" s="20" t="s">
        <v>318</v>
      </c>
      <c r="L47" s="20" t="s">
        <v>109</v>
      </c>
      <c r="M47" s="20" t="s">
        <v>107</v>
      </c>
    </row>
    <row r="48" spans="1:13" s="16" customFormat="1" x14ac:dyDescent="0.25">
      <c r="A48" s="16">
        <v>48</v>
      </c>
      <c r="B48" s="16">
        <f>A47</f>
        <v>47</v>
      </c>
      <c r="C48" s="16">
        <v>4</v>
      </c>
      <c r="D48" s="16" t="s">
        <v>3276</v>
      </c>
      <c r="E48" s="16" t="s">
        <v>3285</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3276</v>
      </c>
      <c r="E49" s="16" t="s">
        <v>3285</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3276</v>
      </c>
      <c r="E50" s="16" t="s">
        <v>3285</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3276</v>
      </c>
      <c r="E51" s="20" t="s">
        <v>3285</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3276</v>
      </c>
      <c r="E52" s="16" t="s">
        <v>3285</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3276</v>
      </c>
      <c r="E53" s="16" t="s">
        <v>3285</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3276</v>
      </c>
      <c r="E54" s="16" t="s">
        <v>3285</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3276</v>
      </c>
      <c r="E55" s="16" t="s">
        <v>3285</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3276</v>
      </c>
      <c r="E56" s="20" t="s">
        <v>3285</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3276</v>
      </c>
      <c r="E57" s="16" t="s">
        <v>3285</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3276</v>
      </c>
      <c r="E58" s="16" t="s">
        <v>3285</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3276</v>
      </c>
      <c r="E59" s="16" t="s">
        <v>3285</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3276</v>
      </c>
      <c r="E60" s="16" t="s">
        <v>3285</v>
      </c>
      <c r="F60" s="16" t="s">
        <v>150</v>
      </c>
      <c r="G60" s="16" t="s">
        <v>151</v>
      </c>
      <c r="H60" s="16" t="s">
        <v>253</v>
      </c>
      <c r="J60" s="16" t="s">
        <v>332</v>
      </c>
      <c r="L60" s="16" t="s">
        <v>137</v>
      </c>
      <c r="M60" s="16" t="s">
        <v>134</v>
      </c>
    </row>
    <row r="61" spans="1:13" s="20" customFormat="1" x14ac:dyDescent="0.25">
      <c r="A61" s="20">
        <v>61</v>
      </c>
      <c r="B61" s="20">
        <f>A26</f>
        <v>26</v>
      </c>
      <c r="C61" s="20">
        <v>3</v>
      </c>
      <c r="D61" s="20" t="s">
        <v>3276</v>
      </c>
      <c r="E61" s="20" t="s">
        <v>3285</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3276</v>
      </c>
      <c r="E62" s="16" t="s">
        <v>3285</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3276</v>
      </c>
      <c r="E63" s="16" t="s">
        <v>3285</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3276</v>
      </c>
      <c r="E64" s="16" t="s">
        <v>3285</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3276</v>
      </c>
      <c r="E65" s="18" t="s">
        <v>3285</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3276</v>
      </c>
      <c r="E66" s="16" t="s">
        <v>3285</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3276</v>
      </c>
      <c r="E67" s="16" t="s">
        <v>3285</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3276</v>
      </c>
      <c r="E68" s="16" t="s">
        <v>3285</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3276</v>
      </c>
      <c r="E69" s="16" t="s">
        <v>3285</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3276</v>
      </c>
      <c r="E70" s="16" t="s">
        <v>3285</v>
      </c>
      <c r="F70" s="16" t="s">
        <v>3427</v>
      </c>
      <c r="G70" s="16" t="s">
        <v>3428</v>
      </c>
      <c r="H70" s="16" t="s">
        <v>253</v>
      </c>
      <c r="I70" s="16" t="s">
        <v>3429</v>
      </c>
      <c r="J70" s="16" t="s">
        <v>341</v>
      </c>
      <c r="L70" s="16" t="s">
        <v>191</v>
      </c>
      <c r="M70" s="16" t="s">
        <v>190</v>
      </c>
    </row>
    <row r="71" spans="1:13" s="18" customFormat="1" x14ac:dyDescent="0.25">
      <c r="A71" s="18">
        <v>71</v>
      </c>
      <c r="B71" s="18">
        <f>A25</f>
        <v>25</v>
      </c>
      <c r="C71" s="18">
        <v>2</v>
      </c>
      <c r="D71" s="18" t="s">
        <v>3276</v>
      </c>
      <c r="E71" s="18" t="s">
        <v>3285</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3276</v>
      </c>
      <c r="E72" s="20" t="s">
        <v>3285</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3276</v>
      </c>
      <c r="E73" s="16" t="s">
        <v>3285</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3276</v>
      </c>
      <c r="E74" s="16" t="s">
        <v>3285</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3276</v>
      </c>
      <c r="E75" s="16" t="s">
        <v>3285</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3276</v>
      </c>
      <c r="E76" s="20" t="s">
        <v>3285</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3276</v>
      </c>
      <c r="E77" s="16" t="s">
        <v>3285</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3276</v>
      </c>
      <c r="E78" s="16" t="s">
        <v>3285</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3276</v>
      </c>
      <c r="E79" s="16" t="s">
        <v>3285</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3276</v>
      </c>
      <c r="E80" s="18" t="s">
        <v>3285</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3276</v>
      </c>
      <c r="E81" s="18" t="s">
        <v>3285</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3276</v>
      </c>
      <c r="E82" s="18" t="s">
        <v>3285</v>
      </c>
      <c r="F82" s="18" t="s">
        <v>240</v>
      </c>
      <c r="G82" s="18" t="s">
        <v>241</v>
      </c>
      <c r="H82" s="18" t="s">
        <v>253</v>
      </c>
      <c r="J82" s="18" t="s">
        <v>353</v>
      </c>
      <c r="L82" s="18" t="s">
        <v>240</v>
      </c>
      <c r="M82" s="18" t="s">
        <v>240</v>
      </c>
    </row>
    <row r="83" spans="1:13" x14ac:dyDescent="0.25">
      <c r="A83" s="7">
        <v>83</v>
      </c>
      <c r="B83" s="7">
        <v>1</v>
      </c>
      <c r="C83" s="7">
        <v>1</v>
      </c>
      <c r="D83" s="7" t="s">
        <v>267</v>
      </c>
      <c r="E83" s="7" t="s">
        <v>3286</v>
      </c>
      <c r="F83" s="7" t="s">
        <v>263</v>
      </c>
      <c r="G83" s="7" t="s">
        <v>267</v>
      </c>
      <c r="H83" s="7" t="s">
        <v>273</v>
      </c>
      <c r="I83" s="7"/>
      <c r="J83" s="7"/>
      <c r="K83" s="7"/>
      <c r="L83" s="7" t="s">
        <v>263</v>
      </c>
      <c r="M83" s="7" t="s">
        <v>263</v>
      </c>
    </row>
    <row r="84" spans="1:13" x14ac:dyDescent="0.25">
      <c r="A84" s="7">
        <v>84</v>
      </c>
      <c r="B84" s="7">
        <v>1</v>
      </c>
      <c r="C84" s="7">
        <v>1</v>
      </c>
      <c r="D84" s="7" t="s">
        <v>3273</v>
      </c>
      <c r="E84" s="7" t="s">
        <v>3285</v>
      </c>
      <c r="F84" s="7" t="s">
        <v>15</v>
      </c>
      <c r="G84" s="7" t="s">
        <v>14</v>
      </c>
      <c r="H84" s="7" t="s">
        <v>279</v>
      </c>
      <c r="I84" s="7"/>
      <c r="J84" s="7"/>
      <c r="K84" s="7"/>
      <c r="L84" s="7" t="s">
        <v>15</v>
      </c>
      <c r="M84" s="7" t="s">
        <v>15</v>
      </c>
    </row>
    <row r="85" spans="1:13" x14ac:dyDescent="0.25">
      <c r="A85" s="7">
        <v>85</v>
      </c>
      <c r="B85" s="7">
        <v>1</v>
      </c>
      <c r="C85" s="7">
        <v>1</v>
      </c>
      <c r="D85" s="7" t="s">
        <v>3275</v>
      </c>
      <c r="E85" s="7" t="s">
        <v>3285</v>
      </c>
      <c r="F85" s="7" t="s">
        <v>246</v>
      </c>
      <c r="G85" s="7" t="s">
        <v>3275</v>
      </c>
      <c r="H85" s="7" t="s">
        <v>280</v>
      </c>
      <c r="I85" s="7"/>
      <c r="J85" s="7"/>
      <c r="K85" s="7"/>
      <c r="L85" s="7" t="s">
        <v>246</v>
      </c>
      <c r="M85" s="7" t="s">
        <v>246</v>
      </c>
    </row>
    <row r="86" spans="1:13" x14ac:dyDescent="0.25">
      <c r="A86" s="7">
        <v>86</v>
      </c>
      <c r="B86" s="7">
        <v>1</v>
      </c>
      <c r="C86" s="7">
        <v>1</v>
      </c>
      <c r="D86" s="7" t="s">
        <v>3273</v>
      </c>
      <c r="E86" s="7" t="s">
        <v>3285</v>
      </c>
      <c r="F86" s="7" t="s">
        <v>17</v>
      </c>
      <c r="G86" s="7" t="s">
        <v>289</v>
      </c>
      <c r="H86" s="7" t="s">
        <v>3287</v>
      </c>
      <c r="I86" s="7"/>
      <c r="J86" s="7"/>
      <c r="K86" s="7"/>
      <c r="L86" s="7" t="s">
        <v>17</v>
      </c>
      <c r="M86" s="7" t="s">
        <v>17</v>
      </c>
    </row>
    <row r="87" spans="1:13" x14ac:dyDescent="0.25">
      <c r="A87" s="7">
        <v>87</v>
      </c>
      <c r="B87" s="7">
        <v>1</v>
      </c>
      <c r="C87" s="7">
        <v>1</v>
      </c>
      <c r="D87" s="7" t="s">
        <v>3273</v>
      </c>
      <c r="E87" s="7" t="s">
        <v>3285</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7" activePane="bottomLeft" state="frozen"/>
      <selection pane="bottomLeft" activeCell="D34" sqref="D34"/>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3289</v>
      </c>
      <c r="D2" s="2"/>
      <c r="E2" s="2">
        <v>1</v>
      </c>
      <c r="F2" s="2"/>
      <c r="G2" s="2"/>
      <c r="H2" s="2"/>
      <c r="I2" s="2">
        <v>41</v>
      </c>
    </row>
    <row r="3" spans="1:9" x14ac:dyDescent="0.25">
      <c r="A3" s="2">
        <f>categories!A7</f>
        <v>6</v>
      </c>
      <c r="B3" s="2" t="s">
        <v>361</v>
      </c>
      <c r="C3" s="9" t="s">
        <v>3290</v>
      </c>
      <c r="D3" s="2"/>
      <c r="E3" s="2">
        <v>1</v>
      </c>
      <c r="F3" s="2"/>
      <c r="G3" s="2"/>
      <c r="H3" s="2"/>
      <c r="I3" s="2">
        <v>32</v>
      </c>
    </row>
    <row r="4" spans="1:9" x14ac:dyDescent="0.25">
      <c r="A4" s="2">
        <f>categories!A7</f>
        <v>6</v>
      </c>
      <c r="B4" s="2" t="s">
        <v>362</v>
      </c>
      <c r="C4" s="9" t="s">
        <v>3291</v>
      </c>
      <c r="D4" s="2"/>
      <c r="E4" s="2">
        <v>1</v>
      </c>
      <c r="F4" s="2"/>
      <c r="G4" s="2"/>
      <c r="H4" s="2"/>
      <c r="I4" s="2">
        <v>2</v>
      </c>
    </row>
    <row r="5" spans="1:9" x14ac:dyDescent="0.25">
      <c r="A5" s="2">
        <f>categories!A7</f>
        <v>6</v>
      </c>
      <c r="B5" s="2" t="s">
        <v>363</v>
      </c>
      <c r="C5" s="9" t="s">
        <v>3292</v>
      </c>
      <c r="D5" s="2"/>
      <c r="E5" s="2">
        <v>1</v>
      </c>
      <c r="F5" s="2"/>
      <c r="G5" s="2"/>
      <c r="H5" s="2"/>
      <c r="I5" s="2">
        <v>27</v>
      </c>
    </row>
    <row r="6" spans="1:9" x14ac:dyDescent="0.25">
      <c r="A6" s="2">
        <f>categories!A7</f>
        <v>6</v>
      </c>
      <c r="B6" s="2" t="s">
        <v>364</v>
      </c>
      <c r="C6" s="9" t="s">
        <v>3293</v>
      </c>
      <c r="D6" s="2"/>
      <c r="E6" s="2">
        <v>1</v>
      </c>
      <c r="F6" s="2"/>
      <c r="G6" s="2"/>
      <c r="H6" s="2"/>
      <c r="I6" s="2">
        <v>1</v>
      </c>
    </row>
    <row r="7" spans="1:9" x14ac:dyDescent="0.25">
      <c r="A7" s="2">
        <f>categories!A7</f>
        <v>6</v>
      </c>
      <c r="B7" s="2" t="s">
        <v>365</v>
      </c>
      <c r="C7" s="3" t="s">
        <v>3322</v>
      </c>
      <c r="D7" s="2"/>
      <c r="E7" s="2">
        <v>1</v>
      </c>
      <c r="F7" s="2"/>
      <c r="G7" s="2"/>
      <c r="H7" s="2"/>
      <c r="I7" s="2">
        <v>38</v>
      </c>
    </row>
    <row r="8" spans="1:9" x14ac:dyDescent="0.25">
      <c r="A8" s="2">
        <f>categories!A8</f>
        <v>7</v>
      </c>
      <c r="B8" s="2" t="s">
        <v>366</v>
      </c>
      <c r="C8" s="9" t="s">
        <v>3294</v>
      </c>
      <c r="D8" s="2"/>
      <c r="E8" s="2">
        <v>1</v>
      </c>
      <c r="F8" s="2"/>
      <c r="G8" s="2"/>
      <c r="H8" s="2"/>
      <c r="I8" s="2">
        <v>37</v>
      </c>
    </row>
    <row r="9" spans="1:9" x14ac:dyDescent="0.25">
      <c r="A9" s="2">
        <f>categories!A8</f>
        <v>7</v>
      </c>
      <c r="B9" s="2" t="s">
        <v>367</v>
      </c>
      <c r="C9" s="9" t="s">
        <v>3295</v>
      </c>
      <c r="D9" s="2"/>
      <c r="E9" s="2">
        <v>1</v>
      </c>
      <c r="F9" s="2"/>
      <c r="G9" s="2"/>
      <c r="H9" s="2"/>
      <c r="I9" s="2">
        <v>78</v>
      </c>
    </row>
    <row r="10" spans="1:9" x14ac:dyDescent="0.25">
      <c r="A10" s="2">
        <f>categories!A8</f>
        <v>7</v>
      </c>
      <c r="B10" s="2" t="s">
        <v>368</v>
      </c>
      <c r="C10" s="9" t="s">
        <v>3296</v>
      </c>
      <c r="D10" s="2"/>
      <c r="E10" s="2">
        <v>1</v>
      </c>
      <c r="F10" s="2"/>
      <c r="G10" s="2"/>
      <c r="H10" s="2"/>
      <c r="I10" s="2">
        <v>51</v>
      </c>
    </row>
    <row r="11" spans="1:9" x14ac:dyDescent="0.25">
      <c r="A11" s="2">
        <f>categories!A8</f>
        <v>7</v>
      </c>
      <c r="B11" s="2" t="s">
        <v>369</v>
      </c>
      <c r="C11" s="9" t="s">
        <v>3297</v>
      </c>
      <c r="D11" s="2"/>
      <c r="E11" s="2">
        <v>1</v>
      </c>
      <c r="F11" s="2"/>
      <c r="G11" s="2"/>
      <c r="H11" s="2"/>
      <c r="I11" s="2">
        <v>36</v>
      </c>
    </row>
    <row r="12" spans="1:9" x14ac:dyDescent="0.25">
      <c r="A12" s="2">
        <f>categories!A8</f>
        <v>7</v>
      </c>
      <c r="B12" s="2" t="s">
        <v>370</v>
      </c>
      <c r="C12" s="9" t="s">
        <v>3298</v>
      </c>
      <c r="D12" s="2"/>
      <c r="E12" s="2">
        <v>1</v>
      </c>
      <c r="F12" s="2"/>
      <c r="G12" s="2"/>
      <c r="H12" s="2"/>
      <c r="I12" s="2">
        <v>38</v>
      </c>
    </row>
    <row r="13" spans="1:9" x14ac:dyDescent="0.25">
      <c r="A13" s="2">
        <f>categories!A8</f>
        <v>7</v>
      </c>
      <c r="B13" s="2" t="s">
        <v>371</v>
      </c>
      <c r="C13" s="9" t="s">
        <v>3299</v>
      </c>
      <c r="D13" s="2"/>
      <c r="E13" s="2">
        <v>1</v>
      </c>
      <c r="F13" s="2"/>
      <c r="G13" s="2"/>
      <c r="H13" s="2"/>
      <c r="I13" s="2">
        <v>31</v>
      </c>
    </row>
    <row r="14" spans="1:9" x14ac:dyDescent="0.25">
      <c r="A14" s="2">
        <f>categories!A8</f>
        <v>7</v>
      </c>
      <c r="B14" s="2" t="s">
        <v>372</v>
      </c>
      <c r="C14" s="9" t="s">
        <v>3300</v>
      </c>
      <c r="D14" s="2"/>
      <c r="E14" s="2">
        <v>1</v>
      </c>
      <c r="F14" s="2"/>
      <c r="G14" s="2"/>
      <c r="H14" s="2"/>
      <c r="I14" s="2">
        <v>35</v>
      </c>
    </row>
    <row r="15" spans="1:9" x14ac:dyDescent="0.25">
      <c r="A15" s="2">
        <f>categories!A8</f>
        <v>7</v>
      </c>
      <c r="B15" s="2" t="s">
        <v>373</v>
      </c>
      <c r="C15" s="9" t="s">
        <v>3301</v>
      </c>
      <c r="D15" s="2"/>
      <c r="E15" s="2">
        <v>1</v>
      </c>
      <c r="F15" s="2"/>
      <c r="G15" s="2"/>
      <c r="H15" s="2"/>
      <c r="I15" s="2">
        <v>33</v>
      </c>
    </row>
    <row r="16" spans="1:9" x14ac:dyDescent="0.25">
      <c r="A16" s="2">
        <f>categories!A8</f>
        <v>7</v>
      </c>
      <c r="B16" s="2" t="s">
        <v>374</v>
      </c>
      <c r="C16" s="9" t="s">
        <v>3302</v>
      </c>
      <c r="D16" s="2"/>
      <c r="E16" s="2">
        <v>1</v>
      </c>
      <c r="F16" s="2"/>
      <c r="G16" s="2"/>
      <c r="H16" s="2"/>
      <c r="I16" s="2">
        <v>36</v>
      </c>
    </row>
    <row r="17" spans="1:9" x14ac:dyDescent="0.25">
      <c r="A17" s="2">
        <f>categories!A8</f>
        <v>7</v>
      </c>
      <c r="B17" s="2" t="s">
        <v>375</v>
      </c>
      <c r="C17" s="9" t="s">
        <v>3303</v>
      </c>
      <c r="D17" s="2"/>
      <c r="E17" s="2">
        <v>1</v>
      </c>
      <c r="I17" s="2">
        <v>52</v>
      </c>
    </row>
    <row r="18" spans="1:9" x14ac:dyDescent="0.25">
      <c r="A18" s="2">
        <f>categories!A8</f>
        <v>7</v>
      </c>
      <c r="B18" s="2" t="s">
        <v>376</v>
      </c>
      <c r="C18" s="9" t="s">
        <v>3304</v>
      </c>
      <c r="D18" s="2"/>
      <c r="E18" s="2">
        <v>1</v>
      </c>
      <c r="I18" s="2">
        <v>40</v>
      </c>
    </row>
    <row r="19" spans="1:9" x14ac:dyDescent="0.25">
      <c r="A19" s="2">
        <f>categories!A8</f>
        <v>7</v>
      </c>
      <c r="B19" s="2" t="s">
        <v>377</v>
      </c>
      <c r="C19" s="9" t="s">
        <v>3305</v>
      </c>
      <c r="D19" s="2"/>
      <c r="E19" s="2">
        <v>1</v>
      </c>
      <c r="I19" s="2">
        <v>30</v>
      </c>
    </row>
    <row r="20" spans="1:9" x14ac:dyDescent="0.25">
      <c r="A20" s="2">
        <f>categories!A8</f>
        <v>7</v>
      </c>
      <c r="B20" s="2" t="s">
        <v>378</v>
      </c>
      <c r="C20" s="9" t="s">
        <v>3306</v>
      </c>
      <c r="D20" s="2"/>
      <c r="E20" s="2">
        <v>1</v>
      </c>
      <c r="I20" s="2">
        <v>29</v>
      </c>
    </row>
    <row r="21" spans="1:9" x14ac:dyDescent="0.25">
      <c r="A21" s="2">
        <f>categories!A8</f>
        <v>7</v>
      </c>
      <c r="B21" s="2" t="s">
        <v>379</v>
      </c>
      <c r="C21" s="9" t="s">
        <v>3307</v>
      </c>
      <c r="D21" s="2"/>
      <c r="E21" s="2">
        <v>1</v>
      </c>
      <c r="I21" s="2">
        <v>29</v>
      </c>
    </row>
    <row r="22" spans="1:9" x14ac:dyDescent="0.25">
      <c r="A22" s="2">
        <f>categories!A8</f>
        <v>7</v>
      </c>
      <c r="B22" s="2" t="s">
        <v>380</v>
      </c>
      <c r="C22" s="9" t="s">
        <v>3308</v>
      </c>
      <c r="D22" s="2"/>
      <c r="E22" s="2">
        <v>1</v>
      </c>
      <c r="I22" s="2">
        <v>30</v>
      </c>
    </row>
    <row r="23" spans="1:9" x14ac:dyDescent="0.25">
      <c r="A23" s="2">
        <f>categories!A8</f>
        <v>7</v>
      </c>
      <c r="B23" s="2" t="s">
        <v>381</v>
      </c>
      <c r="C23" s="9" t="s">
        <v>3309</v>
      </c>
      <c r="D23" s="2"/>
      <c r="E23" s="2">
        <v>1</v>
      </c>
      <c r="I23" s="2">
        <v>29</v>
      </c>
    </row>
    <row r="24" spans="1:9" x14ac:dyDescent="0.25">
      <c r="A24" s="2">
        <f>categories!A8</f>
        <v>7</v>
      </c>
      <c r="B24" s="2" t="s">
        <v>382</v>
      </c>
      <c r="C24" s="9" t="s">
        <v>3310</v>
      </c>
      <c r="D24" s="2"/>
      <c r="E24" s="2">
        <v>1</v>
      </c>
      <c r="I24" s="2">
        <v>35</v>
      </c>
    </row>
    <row r="25" spans="1:9" x14ac:dyDescent="0.25">
      <c r="A25" s="2">
        <f>categories!A8</f>
        <v>7</v>
      </c>
      <c r="B25" s="2" t="s">
        <v>383</v>
      </c>
      <c r="C25" s="9" t="s">
        <v>3311</v>
      </c>
      <c r="D25" s="2"/>
      <c r="E25" s="2">
        <v>1</v>
      </c>
      <c r="I25" s="2">
        <v>38</v>
      </c>
    </row>
    <row r="26" spans="1:9" x14ac:dyDescent="0.25">
      <c r="A26" s="2">
        <f>categories!A8</f>
        <v>7</v>
      </c>
      <c r="B26" s="2" t="s">
        <v>384</v>
      </c>
      <c r="C26" s="9" t="s">
        <v>3312</v>
      </c>
      <c r="D26" s="2"/>
      <c r="E26" s="2">
        <v>1</v>
      </c>
      <c r="I26" s="2">
        <v>31</v>
      </c>
    </row>
    <row r="27" spans="1:9" x14ac:dyDescent="0.25">
      <c r="A27" s="2">
        <f>categories!A8</f>
        <v>7</v>
      </c>
      <c r="B27" s="2" t="s">
        <v>385</v>
      </c>
      <c r="C27" s="9" t="s">
        <v>3313</v>
      </c>
      <c r="D27" s="2"/>
      <c r="E27" s="2">
        <v>1</v>
      </c>
      <c r="I27" s="2">
        <v>40</v>
      </c>
    </row>
    <row r="28" spans="1:9" x14ac:dyDescent="0.25">
      <c r="A28" s="2">
        <f>categories!A8</f>
        <v>7</v>
      </c>
      <c r="B28" s="2" t="s">
        <v>386</v>
      </c>
      <c r="C28" s="9" t="s">
        <v>3314</v>
      </c>
      <c r="D28" s="2"/>
      <c r="E28" s="2">
        <v>1</v>
      </c>
      <c r="I28" s="2">
        <v>20</v>
      </c>
    </row>
    <row r="29" spans="1:9" x14ac:dyDescent="0.25">
      <c r="A29" s="2">
        <f>categories!A8</f>
        <v>7</v>
      </c>
      <c r="B29" s="2" t="s">
        <v>387</v>
      </c>
      <c r="C29" s="9" t="s">
        <v>3315</v>
      </c>
      <c r="D29" s="2"/>
      <c r="E29" s="2">
        <v>1</v>
      </c>
      <c r="I29" s="2">
        <v>17</v>
      </c>
    </row>
    <row r="30" spans="1:9" x14ac:dyDescent="0.25">
      <c r="A30" s="2">
        <f>categories!A8</f>
        <v>7</v>
      </c>
      <c r="B30" s="2" t="s">
        <v>388</v>
      </c>
      <c r="C30" s="9" t="s">
        <v>3316</v>
      </c>
      <c r="D30" s="2"/>
      <c r="E30" s="2">
        <v>1</v>
      </c>
      <c r="I30" s="2">
        <v>16</v>
      </c>
    </row>
    <row r="31" spans="1:9" x14ac:dyDescent="0.25">
      <c r="A31" s="2">
        <f>categories!A8</f>
        <v>7</v>
      </c>
      <c r="B31" s="2" t="s">
        <v>389</v>
      </c>
      <c r="C31" s="9" t="s">
        <v>3317</v>
      </c>
      <c r="D31" s="2"/>
      <c r="E31" s="2">
        <v>1</v>
      </c>
      <c r="I31" s="2">
        <v>17</v>
      </c>
    </row>
    <row r="32" spans="1:9" x14ac:dyDescent="0.25">
      <c r="A32" s="2">
        <f>categories!A8</f>
        <v>7</v>
      </c>
      <c r="B32" s="2" t="s">
        <v>390</v>
      </c>
      <c r="C32" s="9" t="s">
        <v>3318</v>
      </c>
      <c r="D32" s="2"/>
      <c r="E32" s="2">
        <v>1</v>
      </c>
      <c r="I32" s="2">
        <v>15</v>
      </c>
    </row>
    <row r="33" spans="1:9" x14ac:dyDescent="0.25">
      <c r="A33" s="2">
        <f>categories!A8</f>
        <v>7</v>
      </c>
      <c r="B33" s="2" t="s">
        <v>391</v>
      </c>
      <c r="C33" s="9" t="s">
        <v>3319</v>
      </c>
      <c r="D33" s="2"/>
      <c r="E33" s="2">
        <v>1</v>
      </c>
      <c r="I33" s="2">
        <v>21</v>
      </c>
    </row>
    <row r="34" spans="1:9" x14ac:dyDescent="0.25">
      <c r="A34" s="12">
        <v>8</v>
      </c>
      <c r="B34" s="5" t="s">
        <v>2534</v>
      </c>
      <c r="C34" s="5" t="s">
        <v>3320</v>
      </c>
      <c r="D34" s="11" t="s">
        <v>3644</v>
      </c>
      <c r="E34">
        <v>1</v>
      </c>
      <c r="G34" s="5"/>
      <c r="H34" s="5"/>
      <c r="I34" s="5">
        <v>104</v>
      </c>
    </row>
    <row r="35" spans="1:9" x14ac:dyDescent="0.25">
      <c r="A35" s="12">
        <v>8</v>
      </c>
      <c r="B35" s="5" t="s">
        <v>2540</v>
      </c>
      <c r="C35" s="5" t="s">
        <v>3321</v>
      </c>
      <c r="D35" s="11" t="s">
        <v>3288</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3406</v>
      </c>
    </row>
    <row r="2" spans="1:11" x14ac:dyDescent="0.25">
      <c r="A2" s="9">
        <f>categories!A5</f>
        <v>4</v>
      </c>
      <c r="B2" s="9" t="s">
        <v>3261</v>
      </c>
      <c r="C2" s="11" t="s">
        <v>3262</v>
      </c>
      <c r="D2" s="11" t="s">
        <v>3593</v>
      </c>
      <c r="E2" s="11" t="s">
        <v>3592</v>
      </c>
      <c r="F2" s="7" t="s">
        <v>3323</v>
      </c>
      <c r="G2" s="9" t="s">
        <v>3278</v>
      </c>
      <c r="H2" s="9" t="s">
        <v>3279</v>
      </c>
      <c r="I2" s="9" t="s">
        <v>3280</v>
      </c>
      <c r="J2" s="9">
        <v>94</v>
      </c>
      <c r="K2" s="24">
        <v>41767</v>
      </c>
    </row>
    <row r="3" spans="1:11" x14ac:dyDescent="0.25">
      <c r="A3" s="9">
        <f>categories!A5</f>
        <v>4</v>
      </c>
      <c r="B3" s="9" t="s">
        <v>3324</v>
      </c>
      <c r="C3" s="9" t="s">
        <v>3281</v>
      </c>
      <c r="D3" s="9" t="s">
        <v>3591</v>
      </c>
      <c r="E3" s="11" t="s">
        <v>3645</v>
      </c>
      <c r="F3" s="13" t="s">
        <v>3325</v>
      </c>
      <c r="G3" s="9" t="s">
        <v>3324</v>
      </c>
      <c r="H3" s="9" t="s">
        <v>3326</v>
      </c>
      <c r="I3" s="9" t="s">
        <v>3327</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tabSelected="1" workbookViewId="0">
      <pane ySplit="1" topLeftCell="A14" activePane="bottomLeft" state="frozen"/>
      <selection pane="bottomLeft" activeCell="E19" sqref="E19"/>
    </sheetView>
  </sheetViews>
  <sheetFormatPr defaultRowHeight="15" x14ac:dyDescent="0.2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2269</v>
      </c>
      <c r="G6" s="5"/>
      <c r="H6" s="5"/>
      <c r="I6" s="5"/>
      <c r="J6" s="5">
        <v>6</v>
      </c>
    </row>
    <row r="7" spans="1:10" x14ac:dyDescent="0.25">
      <c r="A7" s="9">
        <f>categories!A3</f>
        <v>2</v>
      </c>
      <c r="B7" s="5" t="s">
        <v>2270</v>
      </c>
      <c r="C7" s="5" t="s">
        <v>2271</v>
      </c>
      <c r="D7" s="5" t="s">
        <v>2272</v>
      </c>
      <c r="E7" s="5"/>
      <c r="G7" s="5"/>
      <c r="H7" s="5"/>
      <c r="I7" s="5"/>
      <c r="J7" s="5">
        <v>0</v>
      </c>
    </row>
    <row r="8" spans="1:10" x14ac:dyDescent="0.25">
      <c r="A8" s="12">
        <f>categories!A12</f>
        <v>11</v>
      </c>
      <c r="B8" s="5" t="s">
        <v>2312</v>
      </c>
      <c r="C8" s="5" t="s">
        <v>2313</v>
      </c>
      <c r="D8" s="5" t="s">
        <v>2314</v>
      </c>
      <c r="E8" s="11" t="s">
        <v>3646</v>
      </c>
      <c r="F8" s="7" t="s">
        <v>3618</v>
      </c>
      <c r="G8" s="5"/>
      <c r="H8" s="5" t="s">
        <v>2315</v>
      </c>
      <c r="I8" s="5" t="s">
        <v>2316</v>
      </c>
      <c r="J8" s="5">
        <v>276</v>
      </c>
    </row>
    <row r="9" spans="1:10" x14ac:dyDescent="0.25">
      <c r="A9" s="12">
        <f>categories!A12</f>
        <v>11</v>
      </c>
      <c r="B9" s="5" t="s">
        <v>2317</v>
      </c>
      <c r="C9" s="5" t="s">
        <v>2318</v>
      </c>
      <c r="D9" s="5" t="s">
        <v>2319</v>
      </c>
      <c r="E9" s="11" t="s">
        <v>3647</v>
      </c>
      <c r="F9" s="7" t="s">
        <v>3621</v>
      </c>
      <c r="G9" s="5"/>
      <c r="H9" s="5" t="s">
        <v>2320</v>
      </c>
      <c r="I9" s="5" t="s">
        <v>2321</v>
      </c>
      <c r="J9" s="5">
        <v>144</v>
      </c>
    </row>
    <row r="10" spans="1:10" x14ac:dyDescent="0.25">
      <c r="A10" s="12">
        <f>categories!A12</f>
        <v>11</v>
      </c>
      <c r="B10" s="5" t="s">
        <v>2322</v>
      </c>
      <c r="C10" s="5" t="s">
        <v>2323</v>
      </c>
      <c r="D10" s="11" t="s">
        <v>3629</v>
      </c>
      <c r="E10" s="11" t="s">
        <v>3648</v>
      </c>
      <c r="F10" s="7" t="s">
        <v>3620</v>
      </c>
      <c r="G10" s="5"/>
      <c r="H10" s="5" t="s">
        <v>2324</v>
      </c>
      <c r="I10" s="5" t="s">
        <v>2325</v>
      </c>
      <c r="J10" s="5">
        <v>191</v>
      </c>
    </row>
    <row r="11" spans="1:10" x14ac:dyDescent="0.25">
      <c r="A11" s="12">
        <f>categories!A12</f>
        <v>11</v>
      </c>
      <c r="B11" s="5" t="s">
        <v>2326</v>
      </c>
      <c r="C11" s="5" t="s">
        <v>2327</v>
      </c>
      <c r="D11" s="5" t="s">
        <v>2328</v>
      </c>
      <c r="E11" s="11" t="s">
        <v>3649</v>
      </c>
      <c r="F11" s="7" t="s">
        <v>3622</v>
      </c>
      <c r="G11" s="5"/>
      <c r="H11" s="5" t="s">
        <v>2329</v>
      </c>
      <c r="I11" s="5" t="s">
        <v>2330</v>
      </c>
      <c r="J11" s="5">
        <v>191</v>
      </c>
    </row>
    <row r="12" spans="1:10" x14ac:dyDescent="0.25">
      <c r="A12" s="12">
        <f>categories!A12</f>
        <v>11</v>
      </c>
      <c r="B12" s="5" t="s">
        <v>2331</v>
      </c>
      <c r="C12" s="5" t="s">
        <v>2332</v>
      </c>
      <c r="D12" s="5" t="s">
        <v>2333</v>
      </c>
      <c r="E12" s="11" t="s">
        <v>3650</v>
      </c>
      <c r="F12" s="7" t="s">
        <v>3619</v>
      </c>
      <c r="G12" s="5"/>
      <c r="H12" s="5"/>
      <c r="I12" s="5"/>
      <c r="J12" s="5">
        <v>173</v>
      </c>
    </row>
    <row r="13" spans="1:10" s="7" customFormat="1" x14ac:dyDescent="0.25">
      <c r="A13" s="12">
        <v>11</v>
      </c>
      <c r="B13" s="9" t="s">
        <v>3623</v>
      </c>
      <c r="C13" s="9" t="s">
        <v>3624</v>
      </c>
      <c r="D13" s="11" t="s">
        <v>3630</v>
      </c>
      <c r="E13" s="11" t="s">
        <v>3651</v>
      </c>
      <c r="F13" s="7" t="s">
        <v>3625</v>
      </c>
      <c r="G13" s="9"/>
      <c r="H13" s="9" t="s">
        <v>3623</v>
      </c>
      <c r="I13" s="9" t="s">
        <v>3623</v>
      </c>
      <c r="J13" s="9">
        <v>191</v>
      </c>
    </row>
    <row r="14" spans="1:10" x14ac:dyDescent="0.25">
      <c r="A14" s="12">
        <f>categories!A13</f>
        <v>12</v>
      </c>
      <c r="B14" s="5" t="s">
        <v>2344</v>
      </c>
      <c r="C14" s="5" t="s">
        <v>2345</v>
      </c>
      <c r="D14" s="11" t="s">
        <v>3643</v>
      </c>
      <c r="E14" s="11" t="s">
        <v>3654</v>
      </c>
      <c r="F14" s="26" t="s">
        <v>3631</v>
      </c>
      <c r="G14" s="5"/>
      <c r="H14" s="5" t="s">
        <v>2346</v>
      </c>
      <c r="I14" s="5" t="s">
        <v>2347</v>
      </c>
      <c r="J14" s="5">
        <v>220</v>
      </c>
    </row>
    <row r="15" spans="1:10" x14ac:dyDescent="0.25">
      <c r="A15" s="12">
        <f>categories!A13</f>
        <v>12</v>
      </c>
      <c r="B15" s="5" t="s">
        <v>2348</v>
      </c>
      <c r="C15" s="5" t="s">
        <v>2349</v>
      </c>
      <c r="D15" s="5" t="s">
        <v>2350</v>
      </c>
      <c r="E15" s="11" t="s">
        <v>3652</v>
      </c>
      <c r="F15" s="26" t="s">
        <v>3632</v>
      </c>
      <c r="G15" s="5"/>
      <c r="H15" s="5" t="s">
        <v>2351</v>
      </c>
      <c r="I15" s="5" t="s">
        <v>2352</v>
      </c>
      <c r="J15" s="5">
        <v>231</v>
      </c>
    </row>
    <row r="16" spans="1:10" x14ac:dyDescent="0.25">
      <c r="A16" s="12">
        <f>categories!A13</f>
        <v>12</v>
      </c>
      <c r="B16" s="5" t="s">
        <v>2353</v>
      </c>
      <c r="C16" s="5" t="s">
        <v>2354</v>
      </c>
      <c r="D16" s="5" t="s">
        <v>2355</v>
      </c>
      <c r="E16" s="11" t="s">
        <v>3653</v>
      </c>
      <c r="F16" s="26" t="s">
        <v>3633</v>
      </c>
      <c r="G16" s="5"/>
      <c r="H16" s="5" t="s">
        <v>2356</v>
      </c>
      <c r="I16" s="5" t="s">
        <v>2357</v>
      </c>
      <c r="J16" s="5">
        <v>222</v>
      </c>
    </row>
    <row r="17" spans="1:10" x14ac:dyDescent="0.25">
      <c r="A17" s="12">
        <f>categories!A13</f>
        <v>12</v>
      </c>
      <c r="B17" s="5" t="s">
        <v>2358</v>
      </c>
      <c r="C17" s="5" t="s">
        <v>2359</v>
      </c>
      <c r="D17" s="5" t="s">
        <v>2360</v>
      </c>
      <c r="E17" s="5" t="s">
        <v>2361</v>
      </c>
      <c r="F17" s="26" t="s">
        <v>3634</v>
      </c>
      <c r="G17" s="5"/>
      <c r="H17" s="5" t="s">
        <v>2362</v>
      </c>
      <c r="I17" s="5" t="s">
        <v>2363</v>
      </c>
      <c r="J17" s="5">
        <v>181</v>
      </c>
    </row>
    <row r="18" spans="1:10" x14ac:dyDescent="0.25">
      <c r="A18" s="12">
        <f>categories!A13</f>
        <v>12</v>
      </c>
      <c r="B18" s="5" t="s">
        <v>2364</v>
      </c>
      <c r="C18" s="5" t="s">
        <v>2365</v>
      </c>
      <c r="D18" s="5" t="s">
        <v>2366</v>
      </c>
      <c r="E18" s="5" t="s">
        <v>2367</v>
      </c>
      <c r="F18" s="26" t="s">
        <v>3635</v>
      </c>
      <c r="G18" s="5"/>
      <c r="H18" s="5" t="s">
        <v>2368</v>
      </c>
      <c r="I18" s="5" t="s">
        <v>2369</v>
      </c>
      <c r="J18" s="5">
        <v>137</v>
      </c>
    </row>
    <row r="19" spans="1:10" x14ac:dyDescent="0.25">
      <c r="A19" s="12">
        <f>categories!A13</f>
        <v>12</v>
      </c>
      <c r="B19" s="5" t="s">
        <v>2370</v>
      </c>
      <c r="C19" s="5" t="s">
        <v>2371</v>
      </c>
      <c r="D19" s="5" t="s">
        <v>2372</v>
      </c>
      <c r="E19" s="5" t="s">
        <v>2373</v>
      </c>
      <c r="F19" s="26" t="s">
        <v>3636</v>
      </c>
      <c r="G19" s="5"/>
      <c r="H19" s="5" t="s">
        <v>2374</v>
      </c>
      <c r="I19" s="5" t="s">
        <v>2375</v>
      </c>
      <c r="J19" s="5">
        <v>157</v>
      </c>
    </row>
    <row r="20" spans="1:10" x14ac:dyDescent="0.25">
      <c r="A20" s="12">
        <f>categories!A13</f>
        <v>12</v>
      </c>
      <c r="B20" s="5" t="s">
        <v>2376</v>
      </c>
      <c r="C20" s="5" t="s">
        <v>2377</v>
      </c>
      <c r="D20" s="5" t="s">
        <v>2378</v>
      </c>
      <c r="E20" s="5" t="s">
        <v>2379</v>
      </c>
      <c r="F20" s="26" t="s">
        <v>3637</v>
      </c>
      <c r="G20" s="5"/>
      <c r="H20" s="5" t="s">
        <v>2380</v>
      </c>
      <c r="I20" s="5" t="s">
        <v>2381</v>
      </c>
      <c r="J20" s="5">
        <v>137</v>
      </c>
    </row>
    <row r="21" spans="1:10" x14ac:dyDescent="0.25">
      <c r="A21" s="12">
        <f>categories!A13</f>
        <v>12</v>
      </c>
      <c r="B21" s="5" t="s">
        <v>2382</v>
      </c>
      <c r="C21" s="5" t="s">
        <v>2383</v>
      </c>
      <c r="D21" s="5" t="s">
        <v>2384</v>
      </c>
      <c r="E21" s="5" t="s">
        <v>2385</v>
      </c>
      <c r="F21" s="26" t="s">
        <v>3638</v>
      </c>
      <c r="G21" s="5"/>
      <c r="H21" s="5" t="s">
        <v>2386</v>
      </c>
      <c r="I21" s="5" t="s">
        <v>2387</v>
      </c>
      <c r="J21" s="5">
        <v>105</v>
      </c>
    </row>
    <row r="22" spans="1:10" x14ac:dyDescent="0.25">
      <c r="A22" s="12">
        <f>categories!A13</f>
        <v>12</v>
      </c>
      <c r="B22" s="5" t="s">
        <v>2388</v>
      </c>
      <c r="C22" s="5" t="s">
        <v>2389</v>
      </c>
      <c r="D22" s="5" t="s">
        <v>2390</v>
      </c>
      <c r="E22" s="5" t="s">
        <v>2391</v>
      </c>
      <c r="F22" s="26" t="s">
        <v>3639</v>
      </c>
      <c r="G22" s="5"/>
      <c r="H22" s="5" t="s">
        <v>2392</v>
      </c>
      <c r="I22" s="5" t="s">
        <v>2393</v>
      </c>
      <c r="J22" s="5">
        <v>117</v>
      </c>
    </row>
    <row r="23" spans="1:10" x14ac:dyDescent="0.25">
      <c r="A23" s="12">
        <f>categories!A14</f>
        <v>13</v>
      </c>
      <c r="B23" s="5" t="s">
        <v>2400</v>
      </c>
      <c r="C23" s="5" t="s">
        <v>2401</v>
      </c>
      <c r="D23" s="5" t="s">
        <v>2402</v>
      </c>
      <c r="E23" s="5" t="s">
        <v>2403</v>
      </c>
      <c r="F23" s="7" t="s">
        <v>3599</v>
      </c>
      <c r="G23" s="5"/>
      <c r="H23" s="5" t="s">
        <v>2404</v>
      </c>
      <c r="I23" s="5" t="s">
        <v>2405</v>
      </c>
      <c r="J23" s="5">
        <v>108</v>
      </c>
    </row>
    <row r="24" spans="1:10" x14ac:dyDescent="0.25">
      <c r="A24" s="12">
        <f>categories!A14</f>
        <v>13</v>
      </c>
      <c r="B24" s="5" t="s">
        <v>2406</v>
      </c>
      <c r="C24" s="5" t="s">
        <v>2407</v>
      </c>
      <c r="D24" s="5" t="s">
        <v>2408</v>
      </c>
      <c r="E24" s="5" t="s">
        <v>2409</v>
      </c>
      <c r="F24" s="7" t="s">
        <v>3600</v>
      </c>
      <c r="G24" s="5"/>
      <c r="H24" s="5" t="s">
        <v>2410</v>
      </c>
      <c r="I24" s="5" t="s">
        <v>2411</v>
      </c>
      <c r="J24" s="5">
        <v>118</v>
      </c>
    </row>
    <row r="25" spans="1:10" x14ac:dyDescent="0.25">
      <c r="A25" s="12">
        <f>categories!A15</f>
        <v>14</v>
      </c>
      <c r="B25" s="5" t="s">
        <v>254</v>
      </c>
      <c r="C25" s="5" t="s">
        <v>255</v>
      </c>
      <c r="D25" s="5" t="s">
        <v>2416</v>
      </c>
      <c r="E25" s="5"/>
      <c r="F25" s="7" t="s">
        <v>3601</v>
      </c>
      <c r="G25" s="5"/>
      <c r="H25" s="5" t="s">
        <v>2417</v>
      </c>
      <c r="I25" s="5" t="s">
        <v>2418</v>
      </c>
      <c r="J25" s="5">
        <v>78</v>
      </c>
    </row>
    <row r="26" spans="1:10" x14ac:dyDescent="0.25">
      <c r="A26" s="12">
        <f>categories!A15</f>
        <v>14</v>
      </c>
      <c r="B26" s="5" t="s">
        <v>2419</v>
      </c>
      <c r="C26" s="5" t="s">
        <v>2420</v>
      </c>
      <c r="D26" s="5" t="s">
        <v>2421</v>
      </c>
      <c r="E26" s="5" t="s">
        <v>2422</v>
      </c>
      <c r="F26" s="7" t="s">
        <v>3640</v>
      </c>
      <c r="G26" s="5"/>
      <c r="H26" s="5"/>
      <c r="I26" s="5"/>
      <c r="J26" s="5">
        <v>54</v>
      </c>
    </row>
    <row r="27" spans="1:10" x14ac:dyDescent="0.25">
      <c r="A27" s="12">
        <f>categories!A15</f>
        <v>14</v>
      </c>
      <c r="B27" s="5" t="s">
        <v>2423</v>
      </c>
      <c r="C27" s="5" t="s">
        <v>2424</v>
      </c>
      <c r="D27" s="5" t="s">
        <v>2416</v>
      </c>
      <c r="E27" s="5"/>
      <c r="F27" s="7" t="s">
        <v>3602</v>
      </c>
      <c r="G27" s="5"/>
      <c r="H27" s="5"/>
      <c r="I27" s="5"/>
      <c r="J27" s="5">
        <v>55</v>
      </c>
    </row>
    <row r="28" spans="1:10" x14ac:dyDescent="0.25">
      <c r="A28" s="12">
        <f>categories!A15</f>
        <v>14</v>
      </c>
      <c r="B28" s="5" t="s">
        <v>256</v>
      </c>
      <c r="C28" s="5" t="s">
        <v>257</v>
      </c>
      <c r="D28" s="5" t="s">
        <v>2425</v>
      </c>
      <c r="E28" s="5" t="s">
        <v>2426</v>
      </c>
      <c r="F28" s="7" t="s">
        <v>3603</v>
      </c>
      <c r="G28" s="5"/>
      <c r="H28" s="5" t="s">
        <v>2427</v>
      </c>
      <c r="I28" s="5" t="s">
        <v>2428</v>
      </c>
      <c r="J28" s="5">
        <v>94</v>
      </c>
    </row>
    <row r="29" spans="1:10" x14ac:dyDescent="0.25">
      <c r="A29" s="12">
        <f>categories!A15</f>
        <v>14</v>
      </c>
      <c r="B29" s="5" t="s">
        <v>2535</v>
      </c>
      <c r="C29" s="5" t="s">
        <v>2536</v>
      </c>
      <c r="D29" s="5" t="s">
        <v>2537</v>
      </c>
      <c r="E29" s="5"/>
      <c r="F29" s="7" t="s">
        <v>3641</v>
      </c>
      <c r="G29" s="5"/>
      <c r="H29" s="5"/>
      <c r="I29" s="5"/>
      <c r="J29" s="5">
        <v>50</v>
      </c>
    </row>
    <row r="30" spans="1:10" x14ac:dyDescent="0.25">
      <c r="A30" s="12">
        <f>categories!A15</f>
        <v>14</v>
      </c>
      <c r="B30" s="5" t="s">
        <v>2538</v>
      </c>
      <c r="C30" s="5" t="s">
        <v>2539</v>
      </c>
      <c r="D30" s="5" t="s">
        <v>2416</v>
      </c>
      <c r="E30" s="5"/>
      <c r="F30" s="7" t="s">
        <v>3642</v>
      </c>
      <c r="G30" s="5"/>
      <c r="H30" s="5"/>
      <c r="I30" s="5"/>
      <c r="J30" s="5">
        <v>47</v>
      </c>
    </row>
    <row r="31" spans="1:10" x14ac:dyDescent="0.25">
      <c r="A31" s="12">
        <f>categories!A15</f>
        <v>14</v>
      </c>
      <c r="B31" s="5" t="s">
        <v>2541</v>
      </c>
      <c r="C31" s="5" t="s">
        <v>2542</v>
      </c>
      <c r="D31" s="5" t="s">
        <v>2543</v>
      </c>
      <c r="E31" s="5" t="s">
        <v>2544</v>
      </c>
      <c r="F31" s="7" t="s">
        <v>3604</v>
      </c>
      <c r="G31" s="5"/>
      <c r="H31" s="5"/>
      <c r="I31" s="5"/>
      <c r="J31" s="5">
        <v>63</v>
      </c>
    </row>
    <row r="32" spans="1:10" x14ac:dyDescent="0.25">
      <c r="A32" s="12">
        <f>categories!A15</f>
        <v>14</v>
      </c>
      <c r="B32" s="5" t="s">
        <v>2545</v>
      </c>
      <c r="C32" s="5" t="s">
        <v>2546</v>
      </c>
      <c r="D32" s="5" t="s">
        <v>2547</v>
      </c>
      <c r="E32" s="5"/>
      <c r="F32" s="7" t="s">
        <v>3605</v>
      </c>
      <c r="G32" s="5"/>
      <c r="H32" s="5"/>
      <c r="I32" s="5"/>
      <c r="J32" s="5">
        <v>47</v>
      </c>
    </row>
    <row r="33" spans="1:10" x14ac:dyDescent="0.25">
      <c r="A33" s="12">
        <f>categories!A15</f>
        <v>14</v>
      </c>
      <c r="B33" s="5" t="s">
        <v>2548</v>
      </c>
      <c r="C33" s="5" t="s">
        <v>2549</v>
      </c>
      <c r="D33" s="5" t="s">
        <v>2416</v>
      </c>
      <c r="E33" s="5"/>
      <c r="F33" s="7" t="s">
        <v>3606</v>
      </c>
      <c r="G33" s="5"/>
      <c r="H33" s="5"/>
      <c r="I33" s="5"/>
      <c r="J33" s="5">
        <v>59</v>
      </c>
    </row>
    <row r="34" spans="1:10" x14ac:dyDescent="0.25">
      <c r="A34" s="12">
        <f>categories!A16</f>
        <v>15</v>
      </c>
      <c r="B34" s="5" t="s">
        <v>2431</v>
      </c>
      <c r="C34" s="5" t="s">
        <v>2432</v>
      </c>
      <c r="D34" s="5" t="s">
        <v>2433</v>
      </c>
      <c r="E34" s="5"/>
      <c r="F34" s="7" t="s">
        <v>3607</v>
      </c>
      <c r="G34" s="5"/>
      <c r="H34" s="5"/>
      <c r="I34" s="5"/>
      <c r="J34" s="5">
        <v>53</v>
      </c>
    </row>
    <row r="35" spans="1:10" x14ac:dyDescent="0.25">
      <c r="A35" s="12">
        <f>categories!A16</f>
        <v>15</v>
      </c>
      <c r="B35" s="5" t="s">
        <v>2434</v>
      </c>
      <c r="C35" s="5" t="s">
        <v>2435</v>
      </c>
      <c r="D35" s="5" t="s">
        <v>2416</v>
      </c>
      <c r="E35" s="5"/>
      <c r="F35" s="7" t="s">
        <v>3608</v>
      </c>
      <c r="G35" s="5"/>
      <c r="H35" s="5"/>
      <c r="I35" s="5"/>
      <c r="J35" s="5">
        <v>56</v>
      </c>
    </row>
    <row r="36" spans="1:10" x14ac:dyDescent="0.25">
      <c r="A36" s="12">
        <f>categories!A16</f>
        <v>15</v>
      </c>
      <c r="B36" s="5" t="s">
        <v>2436</v>
      </c>
      <c r="C36" s="5" t="s">
        <v>2437</v>
      </c>
      <c r="D36" s="5" t="s">
        <v>2438</v>
      </c>
      <c r="E36" s="5" t="s">
        <v>2439</v>
      </c>
      <c r="F36" s="7" t="s">
        <v>3609</v>
      </c>
      <c r="G36" s="5"/>
      <c r="H36" s="5" t="s">
        <v>2440</v>
      </c>
      <c r="I36" s="5" t="s">
        <v>2441</v>
      </c>
      <c r="J36" s="5">
        <v>70</v>
      </c>
    </row>
    <row r="37" spans="1:10" x14ac:dyDescent="0.25">
      <c r="A37" s="12">
        <f>categories!A17</f>
        <v>16</v>
      </c>
      <c r="B37" s="5" t="s">
        <v>2442</v>
      </c>
      <c r="C37" s="5" t="s">
        <v>2443</v>
      </c>
      <c r="D37" s="5" t="s">
        <v>2444</v>
      </c>
      <c r="E37" s="5" t="s">
        <v>2445</v>
      </c>
      <c r="F37" s="7" t="s">
        <v>3610</v>
      </c>
      <c r="G37" s="5"/>
      <c r="H37" s="5"/>
      <c r="I37" s="5"/>
      <c r="J37" s="5">
        <v>104</v>
      </c>
    </row>
    <row r="38" spans="1:10" x14ac:dyDescent="0.25">
      <c r="A38" s="12">
        <f>categories!A18</f>
        <v>17</v>
      </c>
      <c r="B38" s="5" t="s">
        <v>2334</v>
      </c>
      <c r="C38" s="5" t="s">
        <v>2335</v>
      </c>
      <c r="D38" s="5" t="s">
        <v>2336</v>
      </c>
      <c r="E38" s="5" t="s">
        <v>2337</v>
      </c>
      <c r="F38" t="s">
        <v>3263</v>
      </c>
      <c r="G38" s="5"/>
      <c r="H38" s="5"/>
      <c r="I38" s="5"/>
      <c r="J38" s="5">
        <v>50</v>
      </c>
    </row>
    <row r="39" spans="1:10" x14ac:dyDescent="0.25">
      <c r="A39" s="12">
        <f>categories!A18</f>
        <v>17</v>
      </c>
      <c r="B39" s="5" t="s">
        <v>2429</v>
      </c>
      <c r="C39" s="5" t="s">
        <v>2430</v>
      </c>
      <c r="D39" s="5"/>
      <c r="E39" s="5"/>
      <c r="F39" t="s">
        <v>3266</v>
      </c>
      <c r="G39" s="5"/>
      <c r="H39" s="5"/>
      <c r="I39" s="5"/>
      <c r="J39" s="5">
        <v>42</v>
      </c>
    </row>
    <row r="40" spans="1:10" x14ac:dyDescent="0.25">
      <c r="A40" s="12">
        <f>categories!A18</f>
        <v>17</v>
      </c>
      <c r="B40" s="5" t="s">
        <v>2412</v>
      </c>
      <c r="C40" s="5" t="s">
        <v>2413</v>
      </c>
      <c r="D40" s="5" t="s">
        <v>2414</v>
      </c>
      <c r="E40" s="5" t="s">
        <v>2415</v>
      </c>
      <c r="F40" t="s">
        <v>3265</v>
      </c>
      <c r="G40" s="5"/>
      <c r="H40" s="5"/>
      <c r="I40" s="5"/>
      <c r="J40" s="5">
        <v>46</v>
      </c>
    </row>
    <row r="41" spans="1:10" x14ac:dyDescent="0.25">
      <c r="A41" s="12">
        <f>categories!A18</f>
        <v>17</v>
      </c>
      <c r="B41" s="5" t="s">
        <v>2394</v>
      </c>
      <c r="C41" s="5" t="s">
        <v>2395</v>
      </c>
      <c r="D41" s="5" t="s">
        <v>2396</v>
      </c>
      <c r="E41" s="5" t="s">
        <v>2397</v>
      </c>
      <c r="F41" t="s">
        <v>3264</v>
      </c>
      <c r="G41" s="5"/>
      <c r="H41" s="5" t="s">
        <v>2398</v>
      </c>
      <c r="I41" s="5" t="s">
        <v>2399</v>
      </c>
      <c r="J41" s="5">
        <v>47</v>
      </c>
    </row>
    <row r="42" spans="1:10" x14ac:dyDescent="0.25">
      <c r="A42" s="12">
        <f>categories!A18</f>
        <v>17</v>
      </c>
      <c r="B42" s="5" t="s">
        <v>2550</v>
      </c>
      <c r="C42" s="5" t="s">
        <v>2551</v>
      </c>
      <c r="D42" s="5" t="s">
        <v>2547</v>
      </c>
      <c r="E42" s="5"/>
      <c r="F42" t="s">
        <v>3270</v>
      </c>
      <c r="G42" s="5"/>
      <c r="H42" s="5"/>
      <c r="I42" s="5"/>
      <c r="J42" s="5">
        <v>50</v>
      </c>
    </row>
    <row r="43" spans="1:10" x14ac:dyDescent="0.25">
      <c r="A43" s="12">
        <f>categories!A18</f>
        <v>17</v>
      </c>
      <c r="B43" s="5" t="s">
        <v>2554</v>
      </c>
      <c r="C43" s="5" t="s">
        <v>2555</v>
      </c>
      <c r="D43" s="5" t="s">
        <v>2416</v>
      </c>
      <c r="E43" s="5"/>
      <c r="F43" t="s">
        <v>3271</v>
      </c>
      <c r="G43" s="5"/>
      <c r="H43" s="5"/>
      <c r="I43" s="5"/>
      <c r="J43" s="5">
        <v>51</v>
      </c>
    </row>
    <row r="44" spans="1:10" x14ac:dyDescent="0.25">
      <c r="A44" s="12">
        <f>categories!A18</f>
        <v>17</v>
      </c>
      <c r="B44" s="5" t="s">
        <v>2568</v>
      </c>
      <c r="C44" s="5" t="s">
        <v>2569</v>
      </c>
      <c r="D44" s="5" t="s">
        <v>2570</v>
      </c>
      <c r="E44" s="5" t="s">
        <v>2571</v>
      </c>
      <c r="F44" t="s">
        <v>3272</v>
      </c>
      <c r="G44" s="5"/>
      <c r="H44" s="5" t="s">
        <v>2568</v>
      </c>
      <c r="I44" s="5" t="s">
        <v>2572</v>
      </c>
      <c r="J44" s="5">
        <v>42</v>
      </c>
    </row>
    <row r="45" spans="1:10" x14ac:dyDescent="0.25">
      <c r="A45" s="12">
        <f>categories!A19</f>
        <v>18</v>
      </c>
      <c r="B45" s="5" t="s">
        <v>2446</v>
      </c>
      <c r="C45" s="5" t="s">
        <v>2447</v>
      </c>
      <c r="D45" s="5" t="s">
        <v>2433</v>
      </c>
      <c r="E45" s="5"/>
      <c r="F45" s="7" t="s">
        <v>3598</v>
      </c>
      <c r="G45" s="5"/>
      <c r="H45" s="5"/>
      <c r="I45" s="5"/>
      <c r="J45" s="5">
        <v>64</v>
      </c>
    </row>
    <row r="46" spans="1:10" x14ac:dyDescent="0.25">
      <c r="A46" s="12">
        <f>categories!A19</f>
        <v>18</v>
      </c>
      <c r="B46" s="5" t="s">
        <v>2448</v>
      </c>
      <c r="C46" s="5" t="s">
        <v>2449</v>
      </c>
      <c r="D46" s="5" t="s">
        <v>2450</v>
      </c>
      <c r="E46" s="5" t="s">
        <v>2451</v>
      </c>
      <c r="F46" s="7" t="s">
        <v>3611</v>
      </c>
      <c r="G46" s="5"/>
      <c r="H46" s="5"/>
      <c r="I46" s="5"/>
      <c r="J46" s="5">
        <v>342</v>
      </c>
    </row>
    <row r="47" spans="1:10" x14ac:dyDescent="0.25">
      <c r="A47" s="12">
        <f>categories!A19</f>
        <v>18</v>
      </c>
      <c r="B47" s="5" t="s">
        <v>2452</v>
      </c>
      <c r="C47" s="5" t="s">
        <v>2453</v>
      </c>
      <c r="D47" s="5" t="s">
        <v>2454</v>
      </c>
      <c r="E47" s="5" t="s">
        <v>2455</v>
      </c>
      <c r="F47" s="7" t="s">
        <v>3612</v>
      </c>
      <c r="G47" s="5"/>
      <c r="H47" s="5" t="s">
        <v>2456</v>
      </c>
      <c r="I47" s="5" t="s">
        <v>2457</v>
      </c>
      <c r="J47" s="5">
        <v>75</v>
      </c>
    </row>
    <row r="48" spans="1:10" x14ac:dyDescent="0.25">
      <c r="A48" s="12">
        <f>categories!A19</f>
        <v>18</v>
      </c>
      <c r="B48" s="5" t="s">
        <v>2552</v>
      </c>
      <c r="C48" s="5" t="s">
        <v>2553</v>
      </c>
      <c r="D48" s="5" t="s">
        <v>2433</v>
      </c>
      <c r="E48" s="5"/>
      <c r="F48" s="7" t="s">
        <v>3613</v>
      </c>
      <c r="G48" s="5"/>
      <c r="H48" s="5"/>
      <c r="I48" s="5"/>
      <c r="J48" s="5">
        <v>62</v>
      </c>
    </row>
    <row r="49" spans="1:11" x14ac:dyDescent="0.25">
      <c r="A49" s="12">
        <v>18</v>
      </c>
      <c r="B49" s="5" t="s">
        <v>2338</v>
      </c>
      <c r="C49" s="5" t="s">
        <v>2339</v>
      </c>
      <c r="D49" s="5" t="s">
        <v>2340</v>
      </c>
      <c r="E49" s="5" t="s">
        <v>2341</v>
      </c>
      <c r="F49" s="7" t="s">
        <v>3617</v>
      </c>
      <c r="G49" s="5"/>
      <c r="H49" s="5" t="s">
        <v>2342</v>
      </c>
      <c r="I49" s="5" t="s">
        <v>2343</v>
      </c>
      <c r="J49" s="5">
        <v>397</v>
      </c>
    </row>
    <row r="50" spans="1:11" s="7" customFormat="1" x14ac:dyDescent="0.25">
      <c r="A50" s="12">
        <f>categories!A85</f>
        <v>85</v>
      </c>
      <c r="B50" s="7" t="s">
        <v>2567</v>
      </c>
      <c r="C50" s="7" t="s">
        <v>243</v>
      </c>
      <c r="F50" s="7" t="s">
        <v>3345</v>
      </c>
      <c r="I50" s="5"/>
      <c r="J50" s="9">
        <v>64</v>
      </c>
    </row>
    <row r="51" spans="1:11" s="7" customFormat="1" x14ac:dyDescent="0.25">
      <c r="A51" s="12">
        <f>categories!A85</f>
        <v>85</v>
      </c>
      <c r="B51" s="7" t="s">
        <v>2535</v>
      </c>
      <c r="C51" s="7" t="s">
        <v>3358</v>
      </c>
      <c r="F51" s="7" t="s">
        <v>3337</v>
      </c>
      <c r="I51" s="5"/>
      <c r="J51" s="9">
        <v>50</v>
      </c>
      <c r="K51" s="5"/>
    </row>
    <row r="52" spans="1:11" s="7" customFormat="1" x14ac:dyDescent="0.25">
      <c r="A52" s="12">
        <f>categories!A85</f>
        <v>85</v>
      </c>
      <c r="B52" s="7" t="s">
        <v>3351</v>
      </c>
      <c r="C52" s="7" t="s">
        <v>3370</v>
      </c>
      <c r="F52" s="7" t="s">
        <v>3348</v>
      </c>
      <c r="I52" s="5"/>
      <c r="J52" s="9">
        <v>64</v>
      </c>
    </row>
    <row r="53" spans="1:11" s="7" customFormat="1" x14ac:dyDescent="0.25">
      <c r="A53" s="12">
        <f>categories!A85</f>
        <v>85</v>
      </c>
      <c r="B53" s="7" t="s">
        <v>30</v>
      </c>
      <c r="C53" s="7" t="s">
        <v>31</v>
      </c>
      <c r="F53" s="7" t="s">
        <v>3357</v>
      </c>
      <c r="I53" s="5"/>
      <c r="J53" s="9">
        <v>64</v>
      </c>
    </row>
    <row r="54" spans="1:11" s="7" customFormat="1" x14ac:dyDescent="0.25">
      <c r="A54" s="12">
        <f>categories!A85</f>
        <v>85</v>
      </c>
      <c r="B54" s="7" t="s">
        <v>2548</v>
      </c>
      <c r="C54" s="7" t="s">
        <v>3365</v>
      </c>
      <c r="F54" s="7" t="s">
        <v>3344</v>
      </c>
      <c r="I54" s="5"/>
      <c r="J54" s="9">
        <v>42</v>
      </c>
    </row>
    <row r="55" spans="1:11" s="7" customFormat="1" x14ac:dyDescent="0.25">
      <c r="A55" s="12">
        <f>categories!A85</f>
        <v>85</v>
      </c>
      <c r="B55" s="7" t="s">
        <v>2541</v>
      </c>
      <c r="C55" s="7" t="s">
        <v>3373</v>
      </c>
      <c r="F55" s="7" t="s">
        <v>3355</v>
      </c>
      <c r="I55" s="5"/>
      <c r="J55" s="9">
        <v>51</v>
      </c>
    </row>
    <row r="56" spans="1:11" s="7" customFormat="1" x14ac:dyDescent="0.25">
      <c r="A56" s="12">
        <f>categories!A85</f>
        <v>85</v>
      </c>
      <c r="B56" s="7" t="s">
        <v>20</v>
      </c>
      <c r="C56" s="7" t="s">
        <v>3360</v>
      </c>
      <c r="F56" s="7" t="s">
        <v>3336</v>
      </c>
      <c r="I56" s="5"/>
      <c r="J56" s="9">
        <v>42</v>
      </c>
    </row>
    <row r="57" spans="1:11" s="7" customFormat="1" x14ac:dyDescent="0.25">
      <c r="A57" s="12">
        <f>categories!A85</f>
        <v>85</v>
      </c>
      <c r="B57" s="7" t="s">
        <v>24</v>
      </c>
      <c r="C57" s="7" t="s">
        <v>3359</v>
      </c>
      <c r="F57" s="7" t="s">
        <v>3338</v>
      </c>
      <c r="I57" s="5"/>
      <c r="J57" s="9">
        <v>51</v>
      </c>
    </row>
    <row r="58" spans="1:11" s="7" customFormat="1" x14ac:dyDescent="0.25">
      <c r="A58" s="12">
        <f>categories!A85</f>
        <v>85</v>
      </c>
      <c r="B58" s="7" t="s">
        <v>2565</v>
      </c>
      <c r="C58" s="7" t="s">
        <v>3363</v>
      </c>
      <c r="F58" s="7" t="s">
        <v>3342</v>
      </c>
      <c r="I58" s="5"/>
      <c r="J58" s="9">
        <v>50</v>
      </c>
    </row>
    <row r="59" spans="1:11" s="7" customFormat="1" x14ac:dyDescent="0.25">
      <c r="A59" s="12">
        <f>categories!A85</f>
        <v>85</v>
      </c>
      <c r="B59" s="7" t="s">
        <v>28</v>
      </c>
      <c r="C59" s="7" t="s">
        <v>3374</v>
      </c>
      <c r="F59" s="7" t="s">
        <v>3356</v>
      </c>
      <c r="I59" s="9"/>
      <c r="J59" s="9">
        <v>42</v>
      </c>
    </row>
    <row r="60" spans="1:11" s="7" customFormat="1" x14ac:dyDescent="0.25">
      <c r="A60" s="12">
        <f>categories!A85</f>
        <v>85</v>
      </c>
      <c r="B60" s="7" t="s">
        <v>22</v>
      </c>
      <c r="C60" s="7" t="s">
        <v>3366</v>
      </c>
      <c r="F60" s="7" t="s">
        <v>3346</v>
      </c>
      <c r="I60" s="5"/>
      <c r="J60" s="9">
        <v>342</v>
      </c>
    </row>
    <row r="61" spans="1:11" s="7" customFormat="1" x14ac:dyDescent="0.25">
      <c r="A61" s="12">
        <f>categories!A85</f>
        <v>85</v>
      </c>
      <c r="B61" s="7" t="s">
        <v>254</v>
      </c>
      <c r="C61" s="7" t="s">
        <v>3367</v>
      </c>
      <c r="F61" s="7" t="s">
        <v>3347</v>
      </c>
      <c r="I61" s="9"/>
      <c r="J61" s="9">
        <v>50</v>
      </c>
    </row>
    <row r="62" spans="1:11" s="7" customFormat="1" x14ac:dyDescent="0.25">
      <c r="A62" s="12">
        <f>categories!A85</f>
        <v>85</v>
      </c>
      <c r="B62" s="7" t="s">
        <v>2566</v>
      </c>
      <c r="C62" s="7" t="s">
        <v>3364</v>
      </c>
      <c r="F62" s="7" t="s">
        <v>3343</v>
      </c>
      <c r="I62" s="5"/>
      <c r="J62" s="9">
        <v>51</v>
      </c>
    </row>
    <row r="63" spans="1:11" s="7" customFormat="1" x14ac:dyDescent="0.25">
      <c r="A63" s="12">
        <f>categories!A85</f>
        <v>85</v>
      </c>
      <c r="B63" s="7" t="s">
        <v>2431</v>
      </c>
      <c r="C63" s="7" t="s">
        <v>3368</v>
      </c>
      <c r="F63" s="7" t="s">
        <v>3349</v>
      </c>
      <c r="I63" s="5"/>
      <c r="J63" s="9">
        <v>51</v>
      </c>
    </row>
    <row r="64" spans="1:11" s="7" customFormat="1" x14ac:dyDescent="0.25">
      <c r="A64" s="12">
        <f>categories!A85</f>
        <v>85</v>
      </c>
      <c r="B64" s="7" t="s">
        <v>3627</v>
      </c>
      <c r="C64" s="7" t="s">
        <v>3369</v>
      </c>
      <c r="F64" s="7" t="s">
        <v>3350</v>
      </c>
      <c r="I64" s="5"/>
      <c r="J64" s="9">
        <v>42</v>
      </c>
    </row>
    <row r="65" spans="1:10" s="7" customFormat="1" x14ac:dyDescent="0.25">
      <c r="A65" s="12">
        <f>categories!A85</f>
        <v>85</v>
      </c>
      <c r="B65" s="7" t="s">
        <v>256</v>
      </c>
      <c r="C65" s="7" t="s">
        <v>3372</v>
      </c>
      <c r="F65" s="7" t="s">
        <v>3354</v>
      </c>
      <c r="I65" s="5"/>
      <c r="J65" s="9">
        <v>50</v>
      </c>
    </row>
    <row r="66" spans="1:10" s="7" customFormat="1" x14ac:dyDescent="0.25">
      <c r="A66" s="12">
        <f>categories!A85</f>
        <v>85</v>
      </c>
      <c r="B66" s="7" t="s">
        <v>2545</v>
      </c>
      <c r="C66" s="7" t="s">
        <v>3362</v>
      </c>
      <c r="F66" s="7" t="s">
        <v>3341</v>
      </c>
      <c r="I66" s="5"/>
      <c r="J66" s="9">
        <v>342</v>
      </c>
    </row>
    <row r="67" spans="1:10" s="7" customFormat="1" x14ac:dyDescent="0.25">
      <c r="A67" s="12">
        <f>categories!A85</f>
        <v>85</v>
      </c>
      <c r="B67" s="7" t="s">
        <v>3352</v>
      </c>
      <c r="C67" s="7" t="s">
        <v>3371</v>
      </c>
      <c r="F67" s="7" t="s">
        <v>3353</v>
      </c>
      <c r="I67" s="5"/>
      <c r="J67" s="9">
        <v>342</v>
      </c>
    </row>
    <row r="68" spans="1:10" s="7" customFormat="1" x14ac:dyDescent="0.25">
      <c r="A68" s="12">
        <f>categories!A85</f>
        <v>85</v>
      </c>
      <c r="B68" s="7" t="s">
        <v>3339</v>
      </c>
      <c r="C68" s="7" t="s">
        <v>3361</v>
      </c>
      <c r="F68" s="7" t="s">
        <v>3340</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2" activePane="bottomLeft" state="frozen"/>
      <selection pane="bottomLeft" activeCell="F10" sqref="F10"/>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2273</v>
      </c>
      <c r="C2" s="7" t="s">
        <v>3383</v>
      </c>
      <c r="D2" s="15" t="s">
        <v>3384</v>
      </c>
      <c r="E2" s="14" t="s">
        <v>3385</v>
      </c>
      <c r="F2" s="7" t="s">
        <v>3377</v>
      </c>
      <c r="G2" s="5" t="str">
        <f>B2</f>
        <v>Замер и оценка объекта</v>
      </c>
      <c r="H2" s="5" t="s">
        <v>2274</v>
      </c>
      <c r="I2" s="5" t="s">
        <v>2275</v>
      </c>
      <c r="J2" s="5">
        <v>75</v>
      </c>
    </row>
    <row r="3" spans="1:10" x14ac:dyDescent="0.25">
      <c r="A3" s="12">
        <f>categories!A84</f>
        <v>84</v>
      </c>
      <c r="B3" s="7" t="s">
        <v>258</v>
      </c>
      <c r="C3" s="7" t="s">
        <v>259</v>
      </c>
      <c r="D3" s="15" t="s">
        <v>3386</v>
      </c>
      <c r="E3" s="14" t="s">
        <v>3387</v>
      </c>
      <c r="F3" s="7" t="s">
        <v>3378</v>
      </c>
      <c r="G3" s="9" t="str">
        <f t="shared" ref="G3:G7" si="0">B3</f>
        <v>Проектирование</v>
      </c>
      <c r="H3" s="5" t="s">
        <v>2276</v>
      </c>
      <c r="I3" s="5" t="s">
        <v>2277</v>
      </c>
      <c r="J3" s="5">
        <v>72</v>
      </c>
    </row>
    <row r="4" spans="1:10" x14ac:dyDescent="0.25">
      <c r="A4" s="12">
        <f>categories!A84</f>
        <v>84</v>
      </c>
      <c r="B4" s="7" t="s">
        <v>3626</v>
      </c>
      <c r="C4" s="7" t="s">
        <v>2278</v>
      </c>
      <c r="D4" s="15" t="s">
        <v>3388</v>
      </c>
      <c r="E4" s="14" t="s">
        <v>3389</v>
      </c>
      <c r="F4" s="7" t="s">
        <v>3379</v>
      </c>
      <c r="G4" s="9" t="str">
        <f t="shared" si="0"/>
        <v>Доставка</v>
      </c>
      <c r="H4" s="5" t="s">
        <v>2279</v>
      </c>
      <c r="I4" s="5" t="s">
        <v>2279</v>
      </c>
      <c r="J4" s="5">
        <v>74</v>
      </c>
    </row>
    <row r="5" spans="1:10" x14ac:dyDescent="0.25">
      <c r="A5" s="12">
        <f>categories!A84</f>
        <v>84</v>
      </c>
      <c r="B5" s="7" t="s">
        <v>2280</v>
      </c>
      <c r="C5" s="7" t="s">
        <v>2281</v>
      </c>
      <c r="D5" s="15" t="s">
        <v>3390</v>
      </c>
      <c r="E5" s="14" t="s">
        <v>3391</v>
      </c>
      <c r="F5" s="7" t="s">
        <v>3380</v>
      </c>
      <c r="G5" s="9" t="str">
        <f t="shared" si="0"/>
        <v>Монтаж стеклянных дверей и перегородок</v>
      </c>
      <c r="H5" s="5" t="s">
        <v>2282</v>
      </c>
      <c r="I5" s="5" t="s">
        <v>2283</v>
      </c>
      <c r="J5" s="5">
        <v>103</v>
      </c>
    </row>
    <row r="6" spans="1:10" x14ac:dyDescent="0.25">
      <c r="A6" s="12">
        <f>categories!A84</f>
        <v>84</v>
      </c>
      <c r="B6" s="7" t="s">
        <v>2284</v>
      </c>
      <c r="C6" s="7" t="s">
        <v>2285</v>
      </c>
      <c r="D6" s="15" t="s">
        <v>3392</v>
      </c>
      <c r="E6" s="14" t="s">
        <v>3628</v>
      </c>
      <c r="F6" s="7" t="s">
        <v>3381</v>
      </c>
      <c r="G6" s="9" t="str">
        <f t="shared" si="0"/>
        <v>Замена доводчика для стеклянных дверей</v>
      </c>
      <c r="H6" s="9" t="s">
        <v>3376</v>
      </c>
      <c r="I6" s="9" t="s">
        <v>3375</v>
      </c>
      <c r="J6" s="5">
        <v>80</v>
      </c>
    </row>
    <row r="7" spans="1:10" x14ac:dyDescent="0.25">
      <c r="A7" s="12">
        <f>categories!A84</f>
        <v>84</v>
      </c>
      <c r="B7" s="7" t="s">
        <v>2286</v>
      </c>
      <c r="C7" s="7" t="s">
        <v>2287</v>
      </c>
      <c r="D7" s="15" t="s">
        <v>3393</v>
      </c>
      <c r="E7" s="14" t="s">
        <v>3394</v>
      </c>
      <c r="F7" s="7" t="s">
        <v>3382</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2556</v>
      </c>
      <c r="C2" s="5" t="s">
        <v>2557</v>
      </c>
      <c r="D2" s="5" t="s">
        <v>2558</v>
      </c>
      <c r="E2" s="5"/>
      <c r="G2" s="5"/>
      <c r="H2" s="5"/>
      <c r="J2" s="5">
        <v>46</v>
      </c>
    </row>
    <row r="3" spans="1:10" x14ac:dyDescent="0.25">
      <c r="A3" s="12">
        <f>categories!A21</f>
        <v>21</v>
      </c>
      <c r="B3" s="5" t="s">
        <v>2559</v>
      </c>
      <c r="C3" s="5" t="s">
        <v>2560</v>
      </c>
      <c r="D3" s="5" t="s">
        <v>2561</v>
      </c>
      <c r="E3" s="5"/>
      <c r="G3" s="5"/>
      <c r="H3" s="5"/>
      <c r="J3" s="5">
        <v>116</v>
      </c>
    </row>
    <row r="4" spans="1:10" x14ac:dyDescent="0.25">
      <c r="A4" s="12">
        <f>categories!A21</f>
        <v>21</v>
      </c>
      <c r="B4" s="5" t="s">
        <v>2458</v>
      </c>
      <c r="C4" s="5" t="s">
        <v>2459</v>
      </c>
      <c r="D4" s="5" t="s">
        <v>2460</v>
      </c>
      <c r="E4" s="5"/>
      <c r="F4" t="s">
        <v>3267</v>
      </c>
      <c r="G4" s="5" t="s">
        <v>2461</v>
      </c>
      <c r="H4" s="5" t="s">
        <v>2462</v>
      </c>
      <c r="J4" s="5">
        <v>69</v>
      </c>
    </row>
    <row r="5" spans="1:10" x14ac:dyDescent="0.25">
      <c r="A5" s="12">
        <f>categories!A21</f>
        <v>21</v>
      </c>
      <c r="B5" s="5" t="s">
        <v>2463</v>
      </c>
      <c r="C5" s="5" t="s">
        <v>2464</v>
      </c>
      <c r="D5" s="5" t="s">
        <v>2465</v>
      </c>
      <c r="E5" s="5"/>
      <c r="F5" t="s">
        <v>3268</v>
      </c>
      <c r="G5" s="5" t="s">
        <v>2466</v>
      </c>
      <c r="H5" s="5" t="s">
        <v>2467</v>
      </c>
      <c r="J5" s="5">
        <v>53</v>
      </c>
    </row>
    <row r="6" spans="1:10" x14ac:dyDescent="0.25">
      <c r="A6" s="12">
        <f>categories!A21</f>
        <v>21</v>
      </c>
      <c r="B6" s="5" t="s">
        <v>2468</v>
      </c>
      <c r="C6" s="5" t="s">
        <v>2469</v>
      </c>
      <c r="D6" s="5" t="s">
        <v>2470</v>
      </c>
      <c r="E6" s="5" t="s">
        <v>2471</v>
      </c>
      <c r="F6" t="s">
        <v>3269</v>
      </c>
      <c r="G6" s="5" t="s">
        <v>2472</v>
      </c>
      <c r="H6" s="5" t="s">
        <v>2473</v>
      </c>
      <c r="J6" s="5">
        <v>48</v>
      </c>
    </row>
    <row r="7" spans="1:10" x14ac:dyDescent="0.25">
      <c r="A7" s="12">
        <f>categories!A21</f>
        <v>21</v>
      </c>
      <c r="B7" s="5" t="s">
        <v>2562</v>
      </c>
      <c r="C7" s="5" t="s">
        <v>2563</v>
      </c>
      <c r="D7" s="5" t="s">
        <v>2564</v>
      </c>
      <c r="E7" s="5"/>
      <c r="G7" s="5"/>
      <c r="H7" s="5"/>
      <c r="J7" s="5">
        <v>44</v>
      </c>
    </row>
    <row r="8" spans="1:10" x14ac:dyDescent="0.25">
      <c r="A8" s="12">
        <f>categories!A22</f>
        <v>22</v>
      </c>
      <c r="B8" s="5" t="s">
        <v>2474</v>
      </c>
      <c r="C8" s="5" t="s">
        <v>2475</v>
      </c>
      <c r="D8" s="5" t="s">
        <v>2476</v>
      </c>
      <c r="E8" s="5"/>
      <c r="G8" s="5"/>
      <c r="H8" s="5"/>
      <c r="J8" s="5">
        <v>43</v>
      </c>
    </row>
    <row r="9" spans="1:10" x14ac:dyDescent="0.25">
      <c r="A9" s="12">
        <f>categories!A22</f>
        <v>22</v>
      </c>
      <c r="B9" s="5" t="s">
        <v>2477</v>
      </c>
      <c r="C9" s="5" t="s">
        <v>2478</v>
      </c>
      <c r="D9" s="5" t="s">
        <v>2479</v>
      </c>
      <c r="E9" s="5"/>
      <c r="G9" s="5" t="s">
        <v>2480</v>
      </c>
      <c r="H9" s="5"/>
      <c r="J9" s="5">
        <v>49</v>
      </c>
    </row>
    <row r="10" spans="1:10" x14ac:dyDescent="0.25">
      <c r="A10" s="12">
        <f>categories!A22</f>
        <v>22</v>
      </c>
      <c r="B10" s="5" t="s">
        <v>2481</v>
      </c>
      <c r="C10" s="5" t="s">
        <v>2482</v>
      </c>
      <c r="D10" s="5" t="s">
        <v>2483</v>
      </c>
      <c r="E10" s="5"/>
      <c r="G10" s="5"/>
      <c r="H10" s="5"/>
      <c r="J10" s="5">
        <v>40</v>
      </c>
    </row>
    <row r="11" spans="1:10" x14ac:dyDescent="0.25">
      <c r="A11" s="12">
        <f>categories!A22</f>
        <v>22</v>
      </c>
      <c r="B11" s="5" t="s">
        <v>2484</v>
      </c>
      <c r="C11" s="5" t="s">
        <v>2485</v>
      </c>
      <c r="D11" s="5" t="s">
        <v>2486</v>
      </c>
      <c r="E11" s="5"/>
      <c r="G11" s="5" t="s">
        <v>2487</v>
      </c>
      <c r="H11" s="5"/>
      <c r="J11" s="5">
        <v>42</v>
      </c>
    </row>
    <row r="12" spans="1:10" x14ac:dyDescent="0.25">
      <c r="A12" s="12">
        <f>categories!A23</f>
        <v>23</v>
      </c>
      <c r="B12" s="5" t="s">
        <v>2488</v>
      </c>
      <c r="C12" s="5" t="s">
        <v>2489</v>
      </c>
      <c r="D12" s="9" t="s">
        <v>3594</v>
      </c>
      <c r="E12" s="5"/>
      <c r="G12" s="5" t="s">
        <v>2490</v>
      </c>
      <c r="H12" s="5" t="s">
        <v>2490</v>
      </c>
      <c r="J12" s="5">
        <v>44</v>
      </c>
    </row>
    <row r="13" spans="1:10" x14ac:dyDescent="0.25">
      <c r="A13" s="12">
        <f>categories!A23</f>
        <v>23</v>
      </c>
      <c r="B13" s="5" t="s">
        <v>2491</v>
      </c>
      <c r="C13" s="5" t="s">
        <v>2492</v>
      </c>
      <c r="D13" s="5" t="s">
        <v>2493</v>
      </c>
      <c r="E13" s="5"/>
      <c r="G13" s="5" t="s">
        <v>2494</v>
      </c>
      <c r="H13" s="5" t="s">
        <v>2495</v>
      </c>
      <c r="J13" s="5">
        <v>51</v>
      </c>
    </row>
    <row r="14" spans="1:10" x14ac:dyDescent="0.25">
      <c r="A14" s="12">
        <f>categories!A23</f>
        <v>23</v>
      </c>
      <c r="B14" s="5" t="s">
        <v>2496</v>
      </c>
      <c r="C14" s="5" t="s">
        <v>2497</v>
      </c>
      <c r="D14" s="5" t="s">
        <v>2498</v>
      </c>
      <c r="E14" s="5"/>
      <c r="G14" s="5" t="s">
        <v>2499</v>
      </c>
      <c r="H14" s="5"/>
      <c r="J14" s="5">
        <v>49</v>
      </c>
    </row>
    <row r="15" spans="1:10" x14ac:dyDescent="0.25">
      <c r="A15" s="12">
        <f>categories!A23</f>
        <v>23</v>
      </c>
      <c r="B15" s="5" t="s">
        <v>2500</v>
      </c>
      <c r="C15" s="5" t="s">
        <v>2501</v>
      </c>
      <c r="D15" s="5" t="s">
        <v>2502</v>
      </c>
      <c r="E15" s="5"/>
      <c r="G15" s="5" t="s">
        <v>2503</v>
      </c>
      <c r="H15" s="5"/>
      <c r="J15" s="5">
        <v>42</v>
      </c>
    </row>
    <row r="16" spans="1:10" x14ac:dyDescent="0.25">
      <c r="A16" s="12">
        <f>categories!A23</f>
        <v>23</v>
      </c>
      <c r="B16" s="5" t="s">
        <v>2504</v>
      </c>
      <c r="C16" s="5" t="s">
        <v>2505</v>
      </c>
      <c r="D16" s="5" t="s">
        <v>2506</v>
      </c>
      <c r="E16" s="5"/>
      <c r="G16" s="5" t="s">
        <v>2507</v>
      </c>
      <c r="H16" s="5"/>
      <c r="J16" s="5">
        <v>41</v>
      </c>
    </row>
    <row r="17" spans="1:10" x14ac:dyDescent="0.25">
      <c r="A17" s="12">
        <f>categories!A23</f>
        <v>23</v>
      </c>
      <c r="B17" s="5" t="s">
        <v>2508</v>
      </c>
      <c r="C17" s="5" t="s">
        <v>2509</v>
      </c>
      <c r="D17" s="5" t="s">
        <v>2510</v>
      </c>
      <c r="E17" s="5"/>
      <c r="G17" s="5" t="s">
        <v>2511</v>
      </c>
      <c r="H17" s="5"/>
      <c r="J17" s="5">
        <v>77</v>
      </c>
    </row>
    <row r="18" spans="1:10" x14ac:dyDescent="0.25">
      <c r="A18" s="12">
        <f>categories!A24</f>
        <v>24</v>
      </c>
      <c r="B18" s="5" t="s">
        <v>2512</v>
      </c>
      <c r="C18" s="5" t="s">
        <v>2513</v>
      </c>
      <c r="D18" s="5" t="s">
        <v>2514</v>
      </c>
      <c r="E18" s="5"/>
      <c r="G18" s="5" t="s">
        <v>2515</v>
      </c>
      <c r="H18" s="5"/>
      <c r="J18" s="5">
        <v>47</v>
      </c>
    </row>
    <row r="19" spans="1:10" x14ac:dyDescent="0.25">
      <c r="A19" s="12">
        <f>categories!A24</f>
        <v>24</v>
      </c>
      <c r="B19" s="5" t="s">
        <v>2516</v>
      </c>
      <c r="C19" s="5" t="s">
        <v>2517</v>
      </c>
      <c r="D19" s="5" t="s">
        <v>2518</v>
      </c>
      <c r="E19" s="5"/>
      <c r="G19" s="5" t="s">
        <v>2519</v>
      </c>
      <c r="H19" s="5"/>
      <c r="J19" s="5">
        <v>44</v>
      </c>
    </row>
    <row r="20" spans="1:10" x14ac:dyDescent="0.25">
      <c r="A20" s="12">
        <f>categories!A24</f>
        <v>24</v>
      </c>
      <c r="B20" s="5" t="s">
        <v>2520</v>
      </c>
      <c r="C20" s="5" t="s">
        <v>2521</v>
      </c>
      <c r="D20" s="5" t="s">
        <v>2522</v>
      </c>
      <c r="E20" s="5"/>
      <c r="G20" s="5"/>
      <c r="H20" s="5"/>
      <c r="J20" s="5">
        <v>51</v>
      </c>
    </row>
    <row r="21" spans="1:10" x14ac:dyDescent="0.25">
      <c r="A21" s="12">
        <f>categories!A24</f>
        <v>24</v>
      </c>
      <c r="B21" s="5" t="s">
        <v>2523</v>
      </c>
      <c r="C21" s="5" t="s">
        <v>2524</v>
      </c>
      <c r="D21" s="5" t="s">
        <v>2525</v>
      </c>
      <c r="E21" s="5"/>
      <c r="G21" s="5" t="s">
        <v>2526</v>
      </c>
      <c r="H21" s="5"/>
      <c r="J21" s="5">
        <v>48</v>
      </c>
    </row>
    <row r="22" spans="1:10" x14ac:dyDescent="0.25">
      <c r="A22" s="12">
        <f>categories!A24</f>
        <v>24</v>
      </c>
      <c r="B22" s="5" t="s">
        <v>2527</v>
      </c>
      <c r="C22" s="5" t="s">
        <v>2528</v>
      </c>
      <c r="D22" s="5" t="s">
        <v>2529</v>
      </c>
      <c r="E22" s="5"/>
      <c r="G22" s="5" t="s">
        <v>2487</v>
      </c>
      <c r="H22" s="5"/>
      <c r="J22" s="5">
        <v>49</v>
      </c>
    </row>
    <row r="23" spans="1:10" x14ac:dyDescent="0.25">
      <c r="A23" s="12">
        <f>categories!A24</f>
        <v>24</v>
      </c>
      <c r="B23" s="5" t="s">
        <v>2530</v>
      </c>
      <c r="C23" s="5" t="s">
        <v>2531</v>
      </c>
      <c r="D23" s="5" t="s">
        <v>2532</v>
      </c>
      <c r="E23" s="5"/>
      <c r="G23" s="5" t="s">
        <v>2533</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2288</v>
      </c>
      <c r="C2" s="5" t="s">
        <v>2289</v>
      </c>
      <c r="D2" s="5" t="s">
        <v>2290</v>
      </c>
      <c r="E2" s="5"/>
      <c r="H2" s="5"/>
      <c r="I2" s="5"/>
      <c r="J2" s="5">
        <v>3</v>
      </c>
    </row>
    <row r="3" spans="1:10" x14ac:dyDescent="0.25">
      <c r="A3" s="12">
        <f>categories!A86</f>
        <v>86</v>
      </c>
      <c r="B3" s="5" t="s">
        <v>2291</v>
      </c>
      <c r="C3" s="5" t="s">
        <v>2292</v>
      </c>
      <c r="D3" s="5" t="s">
        <v>2293</v>
      </c>
      <c r="E3" s="5"/>
      <c r="H3" s="5"/>
      <c r="I3" s="5"/>
      <c r="J3" s="5">
        <v>3</v>
      </c>
    </row>
    <row r="4" spans="1:10" x14ac:dyDescent="0.25">
      <c r="A4" s="12">
        <f>categories!A86</f>
        <v>86</v>
      </c>
      <c r="B4" s="5" t="s">
        <v>2294</v>
      </c>
      <c r="C4" s="5" t="s">
        <v>2295</v>
      </c>
      <c r="D4" s="5" t="s">
        <v>2296</v>
      </c>
      <c r="E4" s="5"/>
      <c r="H4" s="5"/>
      <c r="I4" s="5"/>
      <c r="J4" s="5">
        <v>3</v>
      </c>
    </row>
    <row r="5" spans="1:10" x14ac:dyDescent="0.25">
      <c r="A5" s="12">
        <f>categories!A86</f>
        <v>86</v>
      </c>
      <c r="B5" s="5" t="s">
        <v>2297</v>
      </c>
      <c r="C5" s="5" t="s">
        <v>2298</v>
      </c>
      <c r="D5" s="5" t="s">
        <v>2299</v>
      </c>
      <c r="E5" s="5"/>
      <c r="H5" s="5"/>
      <c r="I5" s="5"/>
      <c r="J5" s="5">
        <v>3</v>
      </c>
    </row>
    <row r="6" spans="1:10" x14ac:dyDescent="0.25">
      <c r="A6" s="12">
        <f>categories!A86</f>
        <v>86</v>
      </c>
      <c r="B6" s="5" t="s">
        <v>2300</v>
      </c>
      <c r="C6" s="5" t="s">
        <v>2301</v>
      </c>
      <c r="D6" s="5" t="s">
        <v>2302</v>
      </c>
      <c r="E6" s="5"/>
      <c r="H6" s="5"/>
      <c r="I6" s="5"/>
      <c r="J6" s="5">
        <v>3</v>
      </c>
    </row>
    <row r="7" spans="1:10" x14ac:dyDescent="0.25">
      <c r="A7" s="12">
        <f>categories!A86</f>
        <v>86</v>
      </c>
      <c r="B7" s="5" t="s">
        <v>2303</v>
      </c>
      <c r="C7" s="5" t="s">
        <v>2304</v>
      </c>
      <c r="D7" s="5" t="s">
        <v>2305</v>
      </c>
      <c r="E7" s="5"/>
      <c r="H7" s="5"/>
      <c r="I7" s="5"/>
      <c r="J7" s="5">
        <v>3</v>
      </c>
    </row>
    <row r="8" spans="1:10" x14ac:dyDescent="0.25">
      <c r="A8" s="12">
        <f>categories!A86</f>
        <v>86</v>
      </c>
      <c r="B8" s="5" t="s">
        <v>2306</v>
      </c>
      <c r="C8" s="5" t="s">
        <v>2307</v>
      </c>
      <c r="D8" s="5" t="s">
        <v>2308</v>
      </c>
      <c r="E8" s="5"/>
      <c r="H8" s="5"/>
      <c r="I8" s="5"/>
      <c r="J8" s="5">
        <v>3</v>
      </c>
    </row>
    <row r="9" spans="1:10" x14ac:dyDescent="0.25">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2723</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2724</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2725</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2726</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2727</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2728</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2729</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2730</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2731</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2732</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2733</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2734</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2735</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2736</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2737</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2738</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2739</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2740</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2741</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2742</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3421</v>
      </c>
      <c r="B22" s="12">
        <f>categories!$A$29</f>
        <v>29</v>
      </c>
      <c r="C22" s="9" t="s">
        <v>3422</v>
      </c>
      <c r="D22" s="9" t="s">
        <v>3423</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2743</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2744</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2745</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2746</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2747</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2748</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2749</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2750</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2751</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2752</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2753</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2754</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2755</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2756</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2757</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3424</v>
      </c>
      <c r="B38" s="12">
        <f>categories!$A$29</f>
        <v>29</v>
      </c>
      <c r="C38" s="9" t="s">
        <v>3425</v>
      </c>
      <c r="D38" s="9" t="s">
        <v>3426</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2880</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2881</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2882</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2883</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2884</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2885</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2886</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2887</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2888</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2889</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2890</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2891</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2892</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2893</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2894</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2895</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2896</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2897</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2898</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3407</v>
      </c>
      <c r="B58" s="12">
        <f>categories!$A$28</f>
        <v>28</v>
      </c>
      <c r="C58" s="9" t="s">
        <v>3409</v>
      </c>
      <c r="D58" s="9" t="s">
        <v>3408</v>
      </c>
      <c r="E58" s="9"/>
      <c r="F58" s="9"/>
      <c r="G58" s="9" t="s">
        <v>3417</v>
      </c>
      <c r="H58" s="9" t="s">
        <v>451</v>
      </c>
      <c r="I58" s="9" t="s">
        <v>401</v>
      </c>
      <c r="J58" s="9" t="s">
        <v>3410</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3411</v>
      </c>
      <c r="B59" s="12">
        <f>categories!$A$28</f>
        <v>28</v>
      </c>
      <c r="C59" s="9" t="s">
        <v>3415</v>
      </c>
      <c r="D59" s="9" t="s">
        <v>3413</v>
      </c>
      <c r="E59" s="9"/>
      <c r="F59" s="9"/>
      <c r="G59" s="9" t="s">
        <v>3418</v>
      </c>
      <c r="H59" s="9" t="s">
        <v>451</v>
      </c>
      <c r="I59" s="9" t="s">
        <v>401</v>
      </c>
      <c r="J59" s="9" t="s">
        <v>3420</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3412</v>
      </c>
      <c r="B60" s="12">
        <f>categories!$A$28</f>
        <v>28</v>
      </c>
      <c r="C60" s="9" t="s">
        <v>3416</v>
      </c>
      <c r="D60" s="9" t="s">
        <v>3414</v>
      </c>
      <c r="E60" s="9"/>
      <c r="F60" s="9"/>
      <c r="G60" s="9" t="s">
        <v>3419</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2782</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2783</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2784</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2785</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2786</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2787</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2788</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3127</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3128</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3529</v>
      </c>
      <c r="B70" s="12">
        <f>categories!$A$44</f>
        <v>44</v>
      </c>
      <c r="C70" s="9" t="s">
        <v>3528</v>
      </c>
      <c r="D70" s="9" t="s">
        <v>3530</v>
      </c>
      <c r="E70" s="9"/>
      <c r="F70" s="9"/>
      <c r="G70" s="9" t="s">
        <v>3529</v>
      </c>
      <c r="H70" s="9"/>
      <c r="I70" s="9" t="s">
        <v>401</v>
      </c>
      <c r="J70" s="9" t="s">
        <v>3531</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2789</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2790</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2791</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2792</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2793</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2794</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2795</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2796</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2797</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2798</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2766</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2767</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3532</v>
      </c>
      <c r="B83" s="12">
        <f>categories!$A$46</f>
        <v>46</v>
      </c>
      <c r="C83" s="9" t="s">
        <v>3533</v>
      </c>
      <c r="D83" s="9" t="s">
        <v>3534</v>
      </c>
      <c r="E83" s="9"/>
      <c r="F83" s="9"/>
      <c r="G83" s="25" t="s">
        <v>3535</v>
      </c>
      <c r="H83" s="9" t="s">
        <v>613</v>
      </c>
      <c r="I83" s="9" t="s">
        <v>487</v>
      </c>
      <c r="J83" s="11" t="s">
        <v>3536</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2631</v>
      </c>
      <c r="E84" s="9"/>
      <c r="F84" s="9" t="s">
        <v>2632</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2633</v>
      </c>
      <c r="E85" s="9"/>
      <c r="F85" s="9" t="s">
        <v>2634</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2635</v>
      </c>
      <c r="E86" s="9"/>
      <c r="F86" s="9" t="s">
        <v>2636</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2637</v>
      </c>
      <c r="E87" s="9"/>
      <c r="F87" s="9" t="s">
        <v>2638</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2639</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3501</v>
      </c>
      <c r="B89" s="9">
        <f>categories!$A$30</f>
        <v>30</v>
      </c>
      <c r="C89" s="9" t="s">
        <v>3502</v>
      </c>
      <c r="D89" s="9" t="s">
        <v>3503</v>
      </c>
      <c r="E89" s="9"/>
      <c r="F89" s="9"/>
      <c r="G89" s="9" t="s">
        <v>3504</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2640</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2641</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2758</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2759</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2760</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2761</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2762</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2763</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2764</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2765</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2647</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2648</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2649</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2650</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2651</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2652</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2653</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2654</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2655</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2656</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2657</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2658</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2659</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2662</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2663</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2664</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2665</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2675</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2676</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2677</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2678</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2689</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2690</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2691</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2695</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2696</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2697</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2698</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2699</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2700</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2701</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2702</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2703</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2660</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2661</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2666</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2667</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2668</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2669</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2670</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2671</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2672</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2673</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2674</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2679</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2680</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2681</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2682</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2683</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2684</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2685</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2686</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2687</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2688</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2692</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2693</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2694</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2704</v>
      </c>
      <c r="E157" s="9"/>
      <c r="F157" s="9" t="s">
        <v>2705</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2706</v>
      </c>
      <c r="E158" s="9"/>
      <c r="F158" s="9" t="s">
        <v>2705</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2642</v>
      </c>
      <c r="E159" s="9"/>
      <c r="F159" s="9" t="s">
        <v>2643</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2644</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2645</v>
      </c>
      <c r="E161" s="9"/>
      <c r="F161" s="9" t="s">
        <v>2646</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2707</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2708</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2709</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3540</v>
      </c>
      <c r="B165" s="12">
        <f>categories!$A$50</f>
        <v>50</v>
      </c>
      <c r="C165" s="9" t="s">
        <v>3541</v>
      </c>
      <c r="D165" s="9" t="s">
        <v>3542</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2710</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2711</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2712</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2713</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2714</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2715</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2716</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2717</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2718</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3537</v>
      </c>
      <c r="B175" s="12">
        <f>categories!$A$50</f>
        <v>50</v>
      </c>
      <c r="C175" s="9" t="s">
        <v>3538</v>
      </c>
      <c r="D175" s="9" t="s">
        <v>3539</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2719</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2720</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2721</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2722</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2933</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2934</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2935</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2936</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2937</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2938</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2939</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2940</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2941</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2942</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2943</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2944</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2945</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2946</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2947</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2948</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2949</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2950</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2951</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2952</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2953</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2954</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2955</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2956</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2957</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2958</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2959</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2960</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2961</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2962</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2963</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2964</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2965</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2966</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2967</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2968</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2969</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2970</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2971</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2972</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2973</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2974</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2975</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2976</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2977</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2978</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2979</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2980</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2981</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2982</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2983</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2984</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2985</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2986</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2987</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2988</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2989</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2990</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2991</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2992</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2993</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2994</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2995</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2996</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2997</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2998</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2999</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3000</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3001</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3002</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3003</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3004</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3005</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3006</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3007</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3008</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3009</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3010</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3011</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3012</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3013</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3014</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3015</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3016</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3017</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3018</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3019</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3020</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3021</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3022</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3023</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3024</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3025</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2901</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2902</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2899</v>
      </c>
      <c r="E275" s="9"/>
      <c r="F275" s="9"/>
      <c r="G275" s="9" t="s">
        <v>1298</v>
      </c>
      <c r="H275" s="9" t="s">
        <v>451</v>
      </c>
      <c r="I275" s="9" t="s">
        <v>487</v>
      </c>
      <c r="J275" s="11" t="s">
        <v>3462</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2900</v>
      </c>
      <c r="E276" s="9"/>
      <c r="F276" s="9"/>
      <c r="G276" s="9" t="s">
        <v>1298</v>
      </c>
      <c r="H276" s="9" t="s">
        <v>455</v>
      </c>
      <c r="I276" s="9" t="s">
        <v>487</v>
      </c>
      <c r="J276" s="11" t="s">
        <v>3462</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2903</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2904</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3463</v>
      </c>
      <c r="B279" s="12">
        <f>categories!$A$36</f>
        <v>36</v>
      </c>
      <c r="C279" s="9" t="s">
        <v>3465</v>
      </c>
      <c r="D279" s="9" t="s">
        <v>3464</v>
      </c>
      <c r="E279" s="9"/>
      <c r="F279" s="9"/>
      <c r="G279" s="9" t="s">
        <v>3471</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3468</v>
      </c>
      <c r="D280" s="9" t="s">
        <v>3469</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3467</v>
      </c>
      <c r="D281" s="9" t="s">
        <v>3470</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3466</v>
      </c>
      <c r="B282" s="12">
        <f>categories!$A$36</f>
        <v>36</v>
      </c>
      <c r="C282" s="9" t="s">
        <v>3475</v>
      </c>
      <c r="D282" s="9" t="s">
        <v>3478</v>
      </c>
      <c r="E282" s="9"/>
      <c r="F282" s="9"/>
      <c r="G282" s="9" t="s">
        <v>3472</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2913</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2914</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2915</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2916</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2917</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2918</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2919</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3473</v>
      </c>
      <c r="B290" s="12">
        <f>categories!$A$36</f>
        <v>36</v>
      </c>
      <c r="C290" s="9" t="s">
        <v>3476</v>
      </c>
      <c r="D290" s="9" t="s">
        <v>3479</v>
      </c>
      <c r="E290" s="9"/>
      <c r="F290" s="9"/>
      <c r="G290" s="9" t="s">
        <v>3481</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3474</v>
      </c>
      <c r="B291" s="12">
        <f>categories!$A$36</f>
        <v>36</v>
      </c>
      <c r="C291" s="9" t="s">
        <v>3477</v>
      </c>
      <c r="D291" s="9" t="s">
        <v>3480</v>
      </c>
      <c r="E291" s="9"/>
      <c r="F291" s="9"/>
      <c r="G291" s="9" t="s">
        <v>3481</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2920</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2921</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2922</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2923</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2924</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2925</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2926</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2927</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3403</v>
      </c>
      <c r="D300" s="9" t="s">
        <v>2928</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3402</v>
      </c>
      <c r="D301" s="9" t="s">
        <v>2929</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3401</v>
      </c>
      <c r="D302" s="9" t="s">
        <v>2930</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2905</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2906</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2907</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2908</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2909</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2910</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2911</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2912</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3482</v>
      </c>
      <c r="B311" s="12">
        <f>categories!$A$37</f>
        <v>37</v>
      </c>
      <c r="C311" s="9" t="s">
        <v>3483</v>
      </c>
      <c r="D311" s="9" t="s">
        <v>3484</v>
      </c>
      <c r="E311" s="9"/>
      <c r="F311" s="9"/>
      <c r="G311" s="9" t="s">
        <v>3485</v>
      </c>
      <c r="H311" s="9" t="s">
        <v>455</v>
      </c>
      <c r="I311" s="9" t="s">
        <v>401</v>
      </c>
      <c r="J311" s="9" t="s">
        <v>3486</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3499</v>
      </c>
      <c r="B312" s="12">
        <f>categories!$A$37</f>
        <v>37</v>
      </c>
      <c r="C312" s="9" t="s">
        <v>3487</v>
      </c>
      <c r="D312" s="9" t="s">
        <v>3488</v>
      </c>
      <c r="E312" s="9"/>
      <c r="F312" s="9"/>
      <c r="G312" s="9" t="s">
        <v>3489</v>
      </c>
      <c r="H312" s="9" t="s">
        <v>451</v>
      </c>
      <c r="I312" s="9" t="s">
        <v>401</v>
      </c>
      <c r="J312" s="9" t="s">
        <v>3490</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3404</v>
      </c>
      <c r="D313" s="9" t="s">
        <v>2931</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3405</v>
      </c>
      <c r="D314" s="9" t="s">
        <v>2932</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3026</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3027</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3028</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3029</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3030</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3031</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3491</v>
      </c>
      <c r="D321" s="9" t="s">
        <v>3032</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3497</v>
      </c>
      <c r="D322" s="9" t="s">
        <v>3033</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3493</v>
      </c>
      <c r="D323" s="9" t="s">
        <v>3034</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3494</v>
      </c>
      <c r="D324" s="9" t="s">
        <v>3035</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3495</v>
      </c>
      <c r="D325" s="9" t="s">
        <v>3036</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3492</v>
      </c>
      <c r="D326" s="9" t="s">
        <v>3037</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3496</v>
      </c>
      <c r="D327" s="9" t="s">
        <v>3038</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3498</v>
      </c>
      <c r="D328" s="9" t="s">
        <v>3039</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3500</v>
      </c>
      <c r="D329" s="9" t="s">
        <v>3514</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3526</v>
      </c>
      <c r="D330" s="9" t="s">
        <v>3512</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3525</v>
      </c>
      <c r="D331" s="9" t="s">
        <v>3513</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3505</v>
      </c>
      <c r="D332" s="9" t="s">
        <v>3508</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3515</v>
      </c>
      <c r="B333" s="12">
        <f>categories!$A$38</f>
        <v>38</v>
      </c>
      <c r="C333" s="9" t="s">
        <v>3516</v>
      </c>
      <c r="D333" s="9" t="s">
        <v>3517</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3506</v>
      </c>
      <c r="B334" s="12">
        <f>categories!$A$38</f>
        <v>38</v>
      </c>
      <c r="C334" s="9" t="s">
        <v>3507</v>
      </c>
      <c r="D334" s="9" t="s">
        <v>3509</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3518</v>
      </c>
      <c r="D335" s="9" t="s">
        <v>3510</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3519</v>
      </c>
      <c r="B336" s="12">
        <f>categories!$A$38</f>
        <v>38</v>
      </c>
      <c r="C336" s="9" t="s">
        <v>3524</v>
      </c>
      <c r="D336" s="9" t="s">
        <v>3521</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3520</v>
      </c>
      <c r="B337" s="12">
        <f>categories!$A$38</f>
        <v>38</v>
      </c>
      <c r="C337" s="9" t="s">
        <v>3523</v>
      </c>
      <c r="D337" s="9" t="s">
        <v>3522</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3527</v>
      </c>
      <c r="D338" s="9" t="s">
        <v>3511</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3052</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3126</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2573</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2574</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2575</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2576</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2577</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2578</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2579</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2580</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2581</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2582</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2583</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2584</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2585</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2586</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2587</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2588</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2589</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3581</v>
      </c>
      <c r="B358" s="9">
        <f>categories!$A$66</f>
        <v>66</v>
      </c>
      <c r="C358" s="9" t="s">
        <v>3583</v>
      </c>
      <c r="D358" s="9" t="s">
        <v>3584</v>
      </c>
      <c r="E358" s="9"/>
      <c r="F358" s="9"/>
      <c r="G358" s="9" t="s">
        <v>3585</v>
      </c>
      <c r="H358" s="9" t="s">
        <v>400</v>
      </c>
      <c r="I358" s="9" t="s">
        <v>401</v>
      </c>
      <c r="J358" s="9" t="s">
        <v>3589</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3582</v>
      </c>
      <c r="B359" s="9">
        <f>categories!$A$66</f>
        <v>66</v>
      </c>
      <c r="C359" s="9" t="s">
        <v>3587</v>
      </c>
      <c r="D359" s="9" t="s">
        <v>3588</v>
      </c>
      <c r="E359" s="9"/>
      <c r="F359" s="9"/>
      <c r="G359" s="9" t="s">
        <v>3586</v>
      </c>
      <c r="H359" s="9" t="s">
        <v>400</v>
      </c>
      <c r="I359" s="9" t="s">
        <v>401</v>
      </c>
      <c r="J359" s="9" t="s">
        <v>3590</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2590</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2591</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2592</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2593</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2594</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2595</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2596</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2597</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2598</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2599</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2600</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2601</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3442</v>
      </c>
      <c r="B372" s="9">
        <f>categories!$A$66</f>
        <v>66</v>
      </c>
      <c r="C372" s="9" t="s">
        <v>3448</v>
      </c>
      <c r="D372" s="9" t="s">
        <v>3446</v>
      </c>
      <c r="E372" s="9"/>
      <c r="F372" s="9"/>
      <c r="G372" s="9" t="s">
        <v>3443</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3444</v>
      </c>
      <c r="B373" s="9">
        <f>categories!$A$66</f>
        <v>66</v>
      </c>
      <c r="C373" s="9" t="s">
        <v>3449</v>
      </c>
      <c r="D373" s="9" t="s">
        <v>3447</v>
      </c>
      <c r="E373" s="9"/>
      <c r="F373" s="9"/>
      <c r="G373" s="9" t="s">
        <v>3445</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2602</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2603</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2604</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2605</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2606</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2607</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2608</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2609</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2610</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2611</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2612</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2613</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2614</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2615</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2616</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2617</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2618</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2619</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2620</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2621</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2622</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2623</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2624</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2625</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2626</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2627</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2628</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2629</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2630</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2768</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2769</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2770</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2771</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2772</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2773</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2774</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2775</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2776</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2777</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2778</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2779</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2780</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2781</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3040</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3041</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3042</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3043</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3044</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3045</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3046</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3047</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3048</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3049</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3050</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3051</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3458</v>
      </c>
      <c r="B429" s="12">
        <f>categories!$A$70</f>
        <v>70</v>
      </c>
      <c r="C429" s="9" t="s">
        <v>3459</v>
      </c>
      <c r="D429" s="9" t="s">
        <v>3460</v>
      </c>
      <c r="E429" s="9"/>
      <c r="F429" s="9"/>
      <c r="G429" s="9" t="s">
        <v>3461</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3430</v>
      </c>
      <c r="B430" s="12">
        <f>categories!$A$70</f>
        <v>70</v>
      </c>
      <c r="C430" s="9" t="s">
        <v>3431</v>
      </c>
      <c r="D430" s="9" t="s">
        <v>3436</v>
      </c>
      <c r="E430" s="9"/>
      <c r="F430" s="9"/>
      <c r="G430" s="9" t="s">
        <v>3432</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3433</v>
      </c>
      <c r="B431" s="12">
        <f>categories!$A$70</f>
        <v>70</v>
      </c>
      <c r="C431" s="9" t="s">
        <v>3434</v>
      </c>
      <c r="D431" s="9" t="s">
        <v>3435</v>
      </c>
      <c r="E431" s="9"/>
      <c r="F431" s="9"/>
      <c r="G431" s="9" t="s">
        <v>3440</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3437</v>
      </c>
      <c r="B432" s="12">
        <f>categories!$A$70</f>
        <v>70</v>
      </c>
      <c r="C432" s="9" t="s">
        <v>3438</v>
      </c>
      <c r="D432" s="9" t="s">
        <v>3439</v>
      </c>
      <c r="E432" s="9"/>
      <c r="F432" s="9"/>
      <c r="G432" s="9" t="s">
        <v>3441</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3450</v>
      </c>
      <c r="B433" s="12">
        <f>categories!$A$70</f>
        <v>70</v>
      </c>
      <c r="C433" s="9" t="s">
        <v>3456</v>
      </c>
      <c r="D433" s="9" t="s">
        <v>3457</v>
      </c>
      <c r="E433" s="9"/>
      <c r="F433" s="9"/>
      <c r="G433" s="9" t="s">
        <v>3451</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3452</v>
      </c>
      <c r="B434" s="12">
        <f>categories!$A$70</f>
        <v>70</v>
      </c>
      <c r="C434" s="9" t="s">
        <v>3455</v>
      </c>
      <c r="D434" s="9" t="s">
        <v>3454</v>
      </c>
      <c r="E434" s="9"/>
      <c r="F434" s="9"/>
      <c r="G434" s="9" t="s">
        <v>3453</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3053</v>
      </c>
      <c r="E435" s="9"/>
      <c r="F435" s="9" t="s">
        <v>3595</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3054</v>
      </c>
      <c r="E436" s="9"/>
      <c r="F436" s="9" t="s">
        <v>3595</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3552</v>
      </c>
      <c r="D437" s="9" t="s">
        <v>3055</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3553</v>
      </c>
      <c r="D438" s="9" t="s">
        <v>3056</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3554</v>
      </c>
      <c r="D439" s="9" t="s">
        <v>3057</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3543</v>
      </c>
      <c r="D440" s="9" t="s">
        <v>3058</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3544</v>
      </c>
      <c r="D441" s="9" t="s">
        <v>3059</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3545</v>
      </c>
      <c r="D442" s="9" t="s">
        <v>3060</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3546</v>
      </c>
      <c r="D443" s="9" t="s">
        <v>3061</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3547</v>
      </c>
      <c r="D444" s="9" t="s">
        <v>3062</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3548</v>
      </c>
      <c r="D445" s="9" t="s">
        <v>3063</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3549</v>
      </c>
      <c r="D446" s="9" t="s">
        <v>3064</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3550</v>
      </c>
      <c r="D447" s="9" t="s">
        <v>3065</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3551</v>
      </c>
      <c r="D448" s="9" t="s">
        <v>3066</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3555</v>
      </c>
      <c r="D449" s="9" t="s">
        <v>3067</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3556</v>
      </c>
      <c r="D450" s="9" t="s">
        <v>3068</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3557</v>
      </c>
      <c r="D451" s="9" t="s">
        <v>3069</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3558</v>
      </c>
      <c r="D452" s="9" t="s">
        <v>3070</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3567</v>
      </c>
      <c r="D453" s="9" t="s">
        <v>3071</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3568</v>
      </c>
      <c r="D454" s="9" t="s">
        <v>3072</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3559</v>
      </c>
      <c r="D455" s="9" t="s">
        <v>3073</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3560</v>
      </c>
      <c r="D456" s="9" t="s">
        <v>3074</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3566</v>
      </c>
      <c r="D457" s="9" t="s">
        <v>3075</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3569</v>
      </c>
      <c r="D458" s="9" t="s">
        <v>3076</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3570</v>
      </c>
      <c r="D459" s="9" t="s">
        <v>3077</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3571</v>
      </c>
      <c r="D460" s="9" t="s">
        <v>3078</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3565</v>
      </c>
      <c r="D461" s="9" t="s">
        <v>3079</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3579</v>
      </c>
      <c r="D462" s="9" t="s">
        <v>3080</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3572</v>
      </c>
      <c r="D463" s="9" t="s">
        <v>3081</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3564</v>
      </c>
      <c r="D464" s="9" t="s">
        <v>3082</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3580</v>
      </c>
      <c r="D465" s="9" t="s">
        <v>3083</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3563</v>
      </c>
      <c r="D466" s="9" t="s">
        <v>3084</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3562</v>
      </c>
      <c r="D467" s="9" t="s">
        <v>3085</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3561</v>
      </c>
      <c r="D468" s="9" t="s">
        <v>3086</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3573</v>
      </c>
      <c r="D469" s="9" t="s">
        <v>3087</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3574</v>
      </c>
      <c r="D470" s="9" t="s">
        <v>3088</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3575</v>
      </c>
      <c r="D471" s="9" t="s">
        <v>3089</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3578</v>
      </c>
      <c r="D472" s="9" t="s">
        <v>3090</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3577</v>
      </c>
      <c r="D473" s="9" t="s">
        <v>3091</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3576</v>
      </c>
      <c r="D474" s="9" t="s">
        <v>3092</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3093</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3094</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3095</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3096</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3097</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3098</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3099</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3100</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2799</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2800</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2801</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2802</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2803</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2804</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2805</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2806</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2807</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2808</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2809</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2810</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2811</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2812</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2813</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2814</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2833</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2834</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2835</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2815</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2816</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2817</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2818</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2819</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2820</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2821</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2822</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2823</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2824</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2825</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2826</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2827</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2828</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2829</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2830</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2831</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2832</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2836</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2837</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2838</v>
      </c>
      <c r="E522" s="9"/>
      <c r="F522" s="9" t="s">
        <v>2839</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2840</v>
      </c>
      <c r="E523" s="9"/>
      <c r="F523" s="9" t="s">
        <v>2841</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2842</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2843</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2844</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2845</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2846</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2847</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2848</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2849</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2850</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2851</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2852</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2853</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2854</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2855</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2856</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2857</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2858</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2859</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2866</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2867</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2868</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2869</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2879</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2860</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2861</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2862</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2863</v>
      </c>
      <c r="E550" s="9"/>
      <c r="F550" s="9" t="s">
        <v>2864</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2865</v>
      </c>
      <c r="E551" s="9"/>
      <c r="F551" s="9" t="s">
        <v>2864</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2870</v>
      </c>
      <c r="E552" s="9"/>
      <c r="F552" s="9" t="s">
        <v>2871</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2872</v>
      </c>
      <c r="E553" s="9"/>
      <c r="F553" s="9" t="s">
        <v>2871</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2873</v>
      </c>
      <c r="E554" s="9"/>
      <c r="F554" s="9" t="s">
        <v>2874</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2875</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2876</v>
      </c>
      <c r="E556" s="9"/>
      <c r="F556" s="9" t="s">
        <v>2877</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2878</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3101</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3102</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3103</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3104</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3105</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3106</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3107</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3108</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3109</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3110</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3111</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3112</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3113</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3114</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3115</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3116</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3117</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3118</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3119</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3120</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3121</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3122</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3123</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3124</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3125</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3129</v>
      </c>
      <c r="E583" s="9"/>
      <c r="F583" s="9" t="s">
        <v>3130</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3131</v>
      </c>
      <c r="E584" s="9"/>
      <c r="F584" s="9" t="s">
        <v>3132</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3133</v>
      </c>
      <c r="E585" s="9"/>
      <c r="F585" s="9" t="s">
        <v>3134</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3135</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3136</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3137</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3138</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3139</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3140</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3141</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3142</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3143</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3144</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3145</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3146</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3147</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3148</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3149</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3150</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3151</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3152</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3153</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3154</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3155</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3156</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3157</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3158</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3159</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3160</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3161</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3162</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3163</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3164</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3165</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3166</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3167</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3168</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3169</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3170</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3171</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3172</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3173</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3174</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3175</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3176</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3177</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3178</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3179</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3180</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3181</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3182</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3183</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3184</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3185</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3186</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3187</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3188</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3189</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3190</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3191</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3192</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3193</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3194</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3195</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3196</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3197</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3198</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3199</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3200</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3201</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3202</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3203</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3204</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3205</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3206</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3207</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3208</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3209</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3210</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3211</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3212</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3213</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3214</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3215</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3216</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3217</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3218</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3219</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3220</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3221</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3222</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3223</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3224</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3225</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3226</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3227</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3228</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3229</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3230</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3231</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3232</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3233</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3234</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3235</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3236</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3237</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3238</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3239</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3240</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3241</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3242</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3243</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3244</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3245</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3246</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3247</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3248</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3249</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3250</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3251</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3252</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3253</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3254</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3255</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3256</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3257</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3258</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3259</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3260</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2723</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2724</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2725</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2726</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2727</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2728</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2729</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2730</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2731</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2732</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2733</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2734</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2735</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2736</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2737</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2738</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2739</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2740</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2741</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2742</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3421</v>
      </c>
      <c r="B22" s="12">
        <f>categories!$A$29</f>
        <v>29</v>
      </c>
      <c r="C22" s="9" t="s">
        <v>3422</v>
      </c>
      <c r="D22" s="9" t="s">
        <v>3423</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2743</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2744</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2745</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2746</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2747</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2748</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2749</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2750</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2751</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2752</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2753</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2754</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2755</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2756</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2757</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3424</v>
      </c>
      <c r="B38" s="12">
        <f>categories!$A$29</f>
        <v>29</v>
      </c>
      <c r="C38" s="9" t="s">
        <v>3425</v>
      </c>
      <c r="D38" s="9" t="s">
        <v>3426</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2880</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2881</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2882</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2883</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2884</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2885</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2886</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2887</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2888</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2889</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2890</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2891</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2892</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2893</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2894</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2895</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2896</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2897</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2898</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3407</v>
      </c>
      <c r="B58" s="12">
        <f>categories!$A$28</f>
        <v>28</v>
      </c>
      <c r="C58" s="9" t="s">
        <v>3409</v>
      </c>
      <c r="D58" s="9" t="s">
        <v>3408</v>
      </c>
      <c r="E58" s="9"/>
      <c r="F58" s="9"/>
      <c r="G58" s="9" t="s">
        <v>3417</v>
      </c>
      <c r="H58" s="9" t="s">
        <v>451</v>
      </c>
      <c r="I58" s="9" t="s">
        <v>401</v>
      </c>
      <c r="J58" s="9" t="s">
        <v>3410</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3411</v>
      </c>
      <c r="B59" s="12">
        <f>categories!$A$28</f>
        <v>28</v>
      </c>
      <c r="C59" s="9" t="s">
        <v>3415</v>
      </c>
      <c r="D59" s="9" t="s">
        <v>3413</v>
      </c>
      <c r="E59" s="9"/>
      <c r="F59" s="9"/>
      <c r="G59" s="9" t="s">
        <v>3418</v>
      </c>
      <c r="H59" s="9" t="s">
        <v>451</v>
      </c>
      <c r="I59" s="9" t="s">
        <v>401</v>
      </c>
      <c r="J59" s="9" t="s">
        <v>3420</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3412</v>
      </c>
      <c r="B60" s="12">
        <f>categories!$A$28</f>
        <v>28</v>
      </c>
      <c r="C60" s="9" t="s">
        <v>3416</v>
      </c>
      <c r="D60" s="9" t="s">
        <v>3414</v>
      </c>
      <c r="E60" s="9"/>
      <c r="F60" s="9"/>
      <c r="G60" s="9" t="s">
        <v>3419</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2782</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2783</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2784</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2785</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2786</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2787</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2788</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3127</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3128</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3529</v>
      </c>
      <c r="B11" s="12">
        <f>categories!$A$44</f>
        <v>44</v>
      </c>
      <c r="C11" s="9" t="s">
        <v>3528</v>
      </c>
      <c r="D11" s="9" t="s">
        <v>3530</v>
      </c>
      <c r="E11" s="9"/>
      <c r="F11" s="9"/>
      <c r="G11" s="9" t="s">
        <v>3529</v>
      </c>
      <c r="H11" s="9"/>
      <c r="I11" s="9" t="s">
        <v>401</v>
      </c>
      <c r="J11" s="9" t="s">
        <v>3531</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2789</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2790</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2791</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2792</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2793</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2794</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2795</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2796</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2797</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2798</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2766</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2767</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3532</v>
      </c>
      <c r="B24" s="12">
        <f>categories!$A$46</f>
        <v>46</v>
      </c>
      <c r="C24" s="9" t="s">
        <v>3533</v>
      </c>
      <c r="D24" s="9" t="s">
        <v>3534</v>
      </c>
      <c r="E24" s="9"/>
      <c r="F24" s="9"/>
      <c r="G24" s="25" t="s">
        <v>3535</v>
      </c>
      <c r="H24" s="9" t="s">
        <v>613</v>
      </c>
      <c r="I24" s="9" t="s">
        <v>487</v>
      </c>
      <c r="J24" s="11" t="s">
        <v>3536</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2631</v>
      </c>
      <c r="E2" s="9"/>
      <c r="F2" s="9" t="s">
        <v>2632</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2633</v>
      </c>
      <c r="E3" s="9"/>
      <c r="F3" s="9" t="s">
        <v>2634</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2635</v>
      </c>
      <c r="E4" s="9"/>
      <c r="F4" s="9" t="s">
        <v>2636</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2637</v>
      </c>
      <c r="E5" s="9"/>
      <c r="F5" s="9" t="s">
        <v>2638</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2639</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3501</v>
      </c>
      <c r="B7" s="9">
        <f>categories!$A$30</f>
        <v>30</v>
      </c>
      <c r="C7" s="9" t="s">
        <v>3502</v>
      </c>
      <c r="D7" s="9" t="s">
        <v>3503</v>
      </c>
      <c r="E7" s="9"/>
      <c r="F7" s="9"/>
      <c r="G7" s="9" t="s">
        <v>3504</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2640</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2641</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2758</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2759</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2760</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2761</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2762</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2763</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2764</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2765</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2647</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2648</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2649</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2650</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2651</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2652</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2653</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2654</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2655</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2656</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2657</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2658</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2659</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2662</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2663</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2664</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2665</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2675</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2676</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2677</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2678</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2689</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2690</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2691</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2695</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2696</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2697</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2698</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2699</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2700</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2701</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2702</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2703</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2660</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2661</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2666</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2667</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2668</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2669</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2670</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2671</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2672</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2673</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2674</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2679</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2680</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2681</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2682</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2683</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2684</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2685</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2686</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2687</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2688</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2692</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2693</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2694</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2704</v>
      </c>
      <c r="E59" s="9"/>
      <c r="F59" s="9" t="s">
        <v>2705</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2706</v>
      </c>
      <c r="E60" s="9"/>
      <c r="F60" s="9" t="s">
        <v>2705</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2642</v>
      </c>
      <c r="E61" s="9"/>
      <c r="F61" s="9" t="s">
        <v>2643</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2644</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2645</v>
      </c>
      <c r="E63" s="9"/>
      <c r="F63" s="9" t="s">
        <v>2646</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2707</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2708</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2709</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3540</v>
      </c>
      <c r="B5" s="12">
        <f>categories!$A$50</f>
        <v>50</v>
      </c>
      <c r="C5" s="9" t="s">
        <v>3541</v>
      </c>
      <c r="D5" s="9" t="s">
        <v>3542</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2710</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2711</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2712</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2713</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2714</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2715</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2716</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2717</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2718</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3537</v>
      </c>
      <c r="B15" s="12">
        <f>categories!$A$50</f>
        <v>50</v>
      </c>
      <c r="C15" s="9" t="s">
        <v>3538</v>
      </c>
      <c r="D15" s="9" t="s">
        <v>3539</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2719</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2720</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2721</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2722</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2933</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2934</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2935</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2936</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2937</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2938</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2939</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2940</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2941</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2942</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2943</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2944</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2945</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2946</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2947</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2948</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2949</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2950</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2951</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2952</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2953</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2954</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2955</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2956</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2957</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2958</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2959</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2960</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2961</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2962</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2963</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2964</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2965</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2966</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2967</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2968</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2969</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2970</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2971</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2972</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2973</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2974</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2975</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2976</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2977</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2978</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2979</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2980</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2981</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2982</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2983</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2984</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2985</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2986</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2987</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2988</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2989</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2990</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2991</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2992</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2993</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2994</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2995</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2996</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2997</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2998</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2999</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3000</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3001</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3002</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3003</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3004</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3005</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3006</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3007</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3008</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3009</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3010</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3011</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3012</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3013</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3014</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3015</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3016</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3017</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3018</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3019</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3020</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3021</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3022</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3023</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3024</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3025</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2901</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2902</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2899</v>
      </c>
      <c r="E4" s="9"/>
      <c r="F4" s="9"/>
      <c r="G4" s="9" t="s">
        <v>1298</v>
      </c>
      <c r="H4" s="9" t="s">
        <v>451</v>
      </c>
      <c r="I4" s="9" t="s">
        <v>487</v>
      </c>
      <c r="J4" s="11" t="s">
        <v>3462</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2900</v>
      </c>
      <c r="E5" s="9"/>
      <c r="F5" s="9"/>
      <c r="G5" s="9" t="s">
        <v>1298</v>
      </c>
      <c r="H5" s="9" t="s">
        <v>455</v>
      </c>
      <c r="I5" s="9" t="s">
        <v>487</v>
      </c>
      <c r="J5" s="11" t="s">
        <v>3462</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2903</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2904</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3463</v>
      </c>
      <c r="B8" s="12">
        <f>categories!$A$36</f>
        <v>36</v>
      </c>
      <c r="C8" s="9" t="s">
        <v>3465</v>
      </c>
      <c r="D8" s="9" t="s">
        <v>3464</v>
      </c>
      <c r="E8" s="9"/>
      <c r="F8" s="9"/>
      <c r="G8" s="9" t="s">
        <v>3471</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3468</v>
      </c>
      <c r="D9" s="9" t="s">
        <v>3469</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3467</v>
      </c>
      <c r="D10" s="9" t="s">
        <v>3470</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3466</v>
      </c>
      <c r="B11" s="12">
        <f>categories!$A$36</f>
        <v>36</v>
      </c>
      <c r="C11" s="9" t="s">
        <v>3475</v>
      </c>
      <c r="D11" s="9" t="s">
        <v>3478</v>
      </c>
      <c r="E11" s="9"/>
      <c r="F11" s="9"/>
      <c r="G11" s="9" t="s">
        <v>3472</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2913</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2914</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2915</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2916</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2917</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2918</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2919</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3473</v>
      </c>
      <c r="B19" s="12">
        <f>categories!$A$36</f>
        <v>36</v>
      </c>
      <c r="C19" s="9" t="s">
        <v>3476</v>
      </c>
      <c r="D19" s="9" t="s">
        <v>3479</v>
      </c>
      <c r="E19" s="9"/>
      <c r="F19" s="9"/>
      <c r="G19" s="9" t="s">
        <v>3481</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3474</v>
      </c>
      <c r="B20" s="12">
        <f>categories!$A$36</f>
        <v>36</v>
      </c>
      <c r="C20" s="9" t="s">
        <v>3477</v>
      </c>
      <c r="D20" s="9" t="s">
        <v>3480</v>
      </c>
      <c r="E20" s="9"/>
      <c r="F20" s="9"/>
      <c r="G20" s="9" t="s">
        <v>3481</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2920</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2921</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2922</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2923</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2924</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2925</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2926</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2927</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3403</v>
      </c>
      <c r="D29" s="9" t="s">
        <v>2928</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3402</v>
      </c>
      <c r="D30" s="9" t="s">
        <v>2929</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3401</v>
      </c>
      <c r="D31" s="9" t="s">
        <v>2930</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2905</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2906</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2907</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2908</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2909</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2910</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2911</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2912</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3482</v>
      </c>
      <c r="B40" s="12">
        <f>categories!$A$37</f>
        <v>37</v>
      </c>
      <c r="C40" s="9" t="s">
        <v>3483</v>
      </c>
      <c r="D40" s="9" t="s">
        <v>3484</v>
      </c>
      <c r="E40" s="9"/>
      <c r="F40" s="9"/>
      <c r="G40" s="9" t="s">
        <v>3485</v>
      </c>
      <c r="H40" s="9" t="s">
        <v>455</v>
      </c>
      <c r="I40" s="9" t="s">
        <v>401</v>
      </c>
      <c r="J40" s="9" t="s">
        <v>3486</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3499</v>
      </c>
      <c r="B41" s="12">
        <f>categories!$A$37</f>
        <v>37</v>
      </c>
      <c r="C41" s="9" t="s">
        <v>3487</v>
      </c>
      <c r="D41" s="9" t="s">
        <v>3488</v>
      </c>
      <c r="E41" s="9"/>
      <c r="F41" s="9"/>
      <c r="G41" s="9" t="s">
        <v>3489</v>
      </c>
      <c r="H41" s="9" t="s">
        <v>451</v>
      </c>
      <c r="I41" s="9" t="s">
        <v>401</v>
      </c>
      <c r="J41" s="9" t="s">
        <v>3490</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3404</v>
      </c>
      <c r="D42" s="9" t="s">
        <v>2931</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3405</v>
      </c>
      <c r="D43" s="9" t="s">
        <v>2932</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3026</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3027</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3028</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3029</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3030</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3031</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3491</v>
      </c>
      <c r="D50" s="9" t="s">
        <v>3032</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3497</v>
      </c>
      <c r="D51" s="9" t="s">
        <v>3033</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3493</v>
      </c>
      <c r="D52" s="9" t="s">
        <v>3034</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3494</v>
      </c>
      <c r="D53" s="9" t="s">
        <v>3035</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3495</v>
      </c>
      <c r="D54" s="9" t="s">
        <v>3036</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3492</v>
      </c>
      <c r="D55" s="9" t="s">
        <v>3037</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3496</v>
      </c>
      <c r="D56" s="9" t="s">
        <v>3038</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3498</v>
      </c>
      <c r="D57" s="9" t="s">
        <v>3039</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3500</v>
      </c>
      <c r="D58" s="9" t="s">
        <v>3514</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3526</v>
      </c>
      <c r="D59" s="9" t="s">
        <v>3512</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3525</v>
      </c>
      <c r="D60" s="9" t="s">
        <v>3513</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3505</v>
      </c>
      <c r="D61" s="9" t="s">
        <v>3508</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3515</v>
      </c>
      <c r="B62" s="12">
        <f>categories!$A$38</f>
        <v>38</v>
      </c>
      <c r="C62" s="9" t="s">
        <v>3516</v>
      </c>
      <c r="D62" s="9" t="s">
        <v>3517</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3506</v>
      </c>
      <c r="B63" s="12">
        <f>categories!$A$38</f>
        <v>38</v>
      </c>
      <c r="C63" s="9" t="s">
        <v>3507</v>
      </c>
      <c r="D63" s="9" t="s">
        <v>3509</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3518</v>
      </c>
      <c r="D64" s="9" t="s">
        <v>3510</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3519</v>
      </c>
      <c r="B65" s="12">
        <f>categories!$A$38</f>
        <v>38</v>
      </c>
      <c r="C65" s="9" t="s">
        <v>3524</v>
      </c>
      <c r="D65" s="9" t="s">
        <v>3521</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3520</v>
      </c>
      <c r="B66" s="12">
        <f>categories!$A$38</f>
        <v>38</v>
      </c>
      <c r="C66" s="9" t="s">
        <v>3523</v>
      </c>
      <c r="D66" s="9" t="s">
        <v>3522</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3527</v>
      </c>
      <c r="D67" s="9" t="s">
        <v>3511</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3052</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3126</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2573</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2574</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2575</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2576</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2577</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2578</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2579</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2580</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2581</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2582</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2583</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2584</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2585</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2586</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2587</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2588</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2589</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3581</v>
      </c>
      <c r="B19" s="9">
        <f>categories!$A$66</f>
        <v>66</v>
      </c>
      <c r="C19" s="9" t="s">
        <v>3583</v>
      </c>
      <c r="D19" s="9" t="s">
        <v>3584</v>
      </c>
      <c r="E19" s="9"/>
      <c r="F19" s="9"/>
      <c r="G19" s="9" t="s">
        <v>3585</v>
      </c>
      <c r="H19" s="9" t="s">
        <v>400</v>
      </c>
      <c r="I19" s="9" t="s">
        <v>401</v>
      </c>
      <c r="J19" s="9" t="s">
        <v>3589</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3582</v>
      </c>
      <c r="B20" s="9">
        <f>categories!$A$66</f>
        <v>66</v>
      </c>
      <c r="C20" s="9" t="s">
        <v>3587</v>
      </c>
      <c r="D20" s="9" t="s">
        <v>3588</v>
      </c>
      <c r="E20" s="9"/>
      <c r="F20" s="9"/>
      <c r="G20" s="9" t="s">
        <v>3586</v>
      </c>
      <c r="H20" s="9" t="s">
        <v>400</v>
      </c>
      <c r="I20" s="9" t="s">
        <v>401</v>
      </c>
      <c r="J20" s="9" t="s">
        <v>3590</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2590</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2591</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2592</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2593</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2594</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2595</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2596</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2597</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2598</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2599</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2600</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2601</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3442</v>
      </c>
      <c r="B33" s="9">
        <f>categories!$A$66</f>
        <v>66</v>
      </c>
      <c r="C33" s="9" t="s">
        <v>3448</v>
      </c>
      <c r="D33" s="9" t="s">
        <v>3446</v>
      </c>
      <c r="E33" s="9"/>
      <c r="F33" s="9"/>
      <c r="G33" s="9" t="s">
        <v>3443</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3444</v>
      </c>
      <c r="B34" s="9">
        <f>categories!$A$66</f>
        <v>66</v>
      </c>
      <c r="C34" s="9" t="s">
        <v>3449</v>
      </c>
      <c r="D34" s="9" t="s">
        <v>3447</v>
      </c>
      <c r="E34" s="9"/>
      <c r="F34" s="9"/>
      <c r="G34" s="9" t="s">
        <v>3445</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2602</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2603</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2604</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2605</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2606</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2607</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2608</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2609</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2610</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2611</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2612</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2613</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2614</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2615</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2616</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2617</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2618</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2619</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2620</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2621</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2622</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2623</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2624</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2625</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2626</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2627</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2628</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2629</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2630</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2768</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2769</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2770</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2771</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2772</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2773</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2774</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2775</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2776</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2777</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2778</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2779</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2780</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2781</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3040</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3041</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3042</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3043</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3044</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3045</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3046</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3047</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3048</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3049</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3050</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3051</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3458</v>
      </c>
      <c r="B90" s="12">
        <f>categories!$A$70</f>
        <v>70</v>
      </c>
      <c r="C90" s="9" t="s">
        <v>3459</v>
      </c>
      <c r="D90" s="9" t="s">
        <v>3460</v>
      </c>
      <c r="E90" s="9"/>
      <c r="F90" s="9"/>
      <c r="G90" s="9" t="s">
        <v>3461</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3430</v>
      </c>
      <c r="B91" s="12">
        <f>categories!$A$70</f>
        <v>70</v>
      </c>
      <c r="C91" s="9" t="s">
        <v>3431</v>
      </c>
      <c r="D91" s="9" t="s">
        <v>3436</v>
      </c>
      <c r="E91" s="9"/>
      <c r="F91" s="9"/>
      <c r="G91" s="9" t="s">
        <v>3432</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3433</v>
      </c>
      <c r="B92" s="12">
        <f>categories!$A$70</f>
        <v>70</v>
      </c>
      <c r="C92" s="9" t="s">
        <v>3434</v>
      </c>
      <c r="D92" s="9" t="s">
        <v>3435</v>
      </c>
      <c r="E92" s="9"/>
      <c r="F92" s="9"/>
      <c r="G92" s="9" t="s">
        <v>3440</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3437</v>
      </c>
      <c r="B93" s="12">
        <f>categories!$A$70</f>
        <v>70</v>
      </c>
      <c r="C93" s="9" t="s">
        <v>3438</v>
      </c>
      <c r="D93" s="9" t="s">
        <v>3439</v>
      </c>
      <c r="E93" s="9"/>
      <c r="F93" s="9"/>
      <c r="G93" s="9" t="s">
        <v>3441</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3450</v>
      </c>
      <c r="B94" s="12">
        <f>categories!$A$70</f>
        <v>70</v>
      </c>
      <c r="C94" s="9" t="s">
        <v>3456</v>
      </c>
      <c r="D94" s="9" t="s">
        <v>3457</v>
      </c>
      <c r="E94" s="9"/>
      <c r="F94" s="9"/>
      <c r="G94" s="9" t="s">
        <v>3451</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3452</v>
      </c>
      <c r="B95" s="12">
        <f>categories!$A$70</f>
        <v>70</v>
      </c>
      <c r="C95" s="9" t="s">
        <v>3455</v>
      </c>
      <c r="D95" s="9" t="s">
        <v>3454</v>
      </c>
      <c r="E95" s="9"/>
      <c r="F95" s="9"/>
      <c r="G95" s="9" t="s">
        <v>3453</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3053</v>
      </c>
      <c r="E2" s="9"/>
      <c r="F2" s="9" t="s">
        <v>3595</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3054</v>
      </c>
      <c r="E3" s="9"/>
      <c r="F3" s="9" t="s">
        <v>3595</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3552</v>
      </c>
      <c r="D4" s="9" t="s">
        <v>3055</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3553</v>
      </c>
      <c r="D5" s="9" t="s">
        <v>3056</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3554</v>
      </c>
      <c r="D6" s="9" t="s">
        <v>3057</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3543</v>
      </c>
      <c r="D7" s="9" t="s">
        <v>3058</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3544</v>
      </c>
      <c r="D8" s="9" t="s">
        <v>3059</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3545</v>
      </c>
      <c r="D9" s="9" t="s">
        <v>3060</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3546</v>
      </c>
      <c r="D10" s="9" t="s">
        <v>3061</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3547</v>
      </c>
      <c r="D11" s="9" t="s">
        <v>3062</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3548</v>
      </c>
      <c r="D12" s="9" t="s">
        <v>3063</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3549</v>
      </c>
      <c r="D13" s="9" t="s">
        <v>3064</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3550</v>
      </c>
      <c r="D14" s="9" t="s">
        <v>3065</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3551</v>
      </c>
      <c r="D15" s="9" t="s">
        <v>3066</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3555</v>
      </c>
      <c r="D16" s="9" t="s">
        <v>3067</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3556</v>
      </c>
      <c r="D17" s="9" t="s">
        <v>3068</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3557</v>
      </c>
      <c r="D18" s="9" t="s">
        <v>3069</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3558</v>
      </c>
      <c r="D19" s="9" t="s">
        <v>3070</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3567</v>
      </c>
      <c r="D20" s="9" t="s">
        <v>3071</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3568</v>
      </c>
      <c r="D21" s="9" t="s">
        <v>3072</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3559</v>
      </c>
      <c r="D22" s="9" t="s">
        <v>3073</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3560</v>
      </c>
      <c r="D23" s="9" t="s">
        <v>3074</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3566</v>
      </c>
      <c r="D24" s="9" t="s">
        <v>3075</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3569</v>
      </c>
      <c r="D25" s="9" t="s">
        <v>3076</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3570</v>
      </c>
      <c r="D26" s="9" t="s">
        <v>3077</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3571</v>
      </c>
      <c r="D27" s="9" t="s">
        <v>3078</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3565</v>
      </c>
      <c r="D28" s="9" t="s">
        <v>3079</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3579</v>
      </c>
      <c r="D29" s="9" t="s">
        <v>3080</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3572</v>
      </c>
      <c r="D30" s="9" t="s">
        <v>3081</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3564</v>
      </c>
      <c r="D31" s="9" t="s">
        <v>3082</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3580</v>
      </c>
      <c r="D32" s="9" t="s">
        <v>3083</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3563</v>
      </c>
      <c r="D33" s="9" t="s">
        <v>3084</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3562</v>
      </c>
      <c r="D34" s="9" t="s">
        <v>3085</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3561</v>
      </c>
      <c r="D35" s="9" t="s">
        <v>3086</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3573</v>
      </c>
      <c r="D36" s="9" t="s">
        <v>3087</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3574</v>
      </c>
      <c r="D37" s="9" t="s">
        <v>3088</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3575</v>
      </c>
      <c r="D38" s="9" t="s">
        <v>3089</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3578</v>
      </c>
      <c r="D39" s="9" t="s">
        <v>3090</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3577</v>
      </c>
      <c r="D40" s="9" t="s">
        <v>3091</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3576</v>
      </c>
      <c r="D41" s="9" t="s">
        <v>3092</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3093</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3094</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3095</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3096</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3097</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3098</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3099</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3100</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2799</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2800</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2801</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2802</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2803</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2804</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2805</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2806</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2807</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2808</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2809</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2810</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2811</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2812</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2813</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2814</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2833</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2834</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2835</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2815</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2816</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2817</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2818</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2819</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2820</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2821</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2822</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2823</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2824</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2825</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2826</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2827</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2828</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2829</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2830</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2831</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2832</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2836</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2837</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2838</v>
      </c>
      <c r="E41" s="9"/>
      <c r="F41" s="9" t="s">
        <v>2839</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2840</v>
      </c>
      <c r="E42" s="9"/>
      <c r="F42" s="9" t="s">
        <v>2841</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2842</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2843</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2844</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2845</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2846</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2847</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2848</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2849</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2850</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2851</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2852</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2853</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2854</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2855</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2856</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2857</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2858</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2859</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2866</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2867</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2868</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2869</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2879</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2860</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2861</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2862</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2863</v>
      </c>
      <c r="E69" s="9"/>
      <c r="F69" s="9" t="s">
        <v>2864</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2865</v>
      </c>
      <c r="E70" s="9"/>
      <c r="F70" s="9" t="s">
        <v>2864</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2870</v>
      </c>
      <c r="E71" s="9"/>
      <c r="F71" s="9" t="s">
        <v>2871</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2872</v>
      </c>
      <c r="E72" s="9"/>
      <c r="F72" s="9" t="s">
        <v>2871</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2873</v>
      </c>
      <c r="E73" s="9"/>
      <c r="F73" s="9" t="s">
        <v>2874</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2875</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2876</v>
      </c>
      <c r="E75" s="9"/>
      <c r="F75" s="9" t="s">
        <v>2877</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2878</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3101</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3102</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3103</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3104</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3105</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3106</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3107</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3108</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3109</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3110</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3111</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3112</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3113</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3114</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3115</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3116</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3117</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3118</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3119</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3120</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3121</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3122</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3123</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3124</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3125</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3129</v>
      </c>
      <c r="E2" s="9"/>
      <c r="F2" s="9" t="s">
        <v>3130</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3131</v>
      </c>
      <c r="E3" s="9"/>
      <c r="F3" s="9" t="s">
        <v>3132</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3133</v>
      </c>
      <c r="E4" s="9"/>
      <c r="F4" s="9" t="s">
        <v>3134</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3135</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3136</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3137</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3138</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3139</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3140</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3141</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3142</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3143</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3144</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3145</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3146</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3147</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3148</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3149</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3150</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3151</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3152</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3153</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3154</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3155</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3156</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3157</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3158</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3159</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3160</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3161</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3162</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3163</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3164</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3165</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3166</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3167</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3168</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3169</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3170</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3171</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3172</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3173</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3174</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3175</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3176</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3177</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3178</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3179</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3180</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3181</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3182</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3183</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3184</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3185</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3186</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3187</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3188</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3189</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3190</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3191</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3192</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3193</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3194</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3195</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3196</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3197</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3198</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3199</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3200</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3201</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3202</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3203</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3204</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3205</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3206</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3207</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3208</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3209</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3210</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3211</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3212</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3213</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3214</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3215</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3216</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3217</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3218</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3219</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3220</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3221</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3222</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3223</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3224</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3225</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3226</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3227</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3228</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3229</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3230</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3231</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3232</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3233</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3234</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3235</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3236</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3237</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3238</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3239</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3240</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3241</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3242</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3243</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3244</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3245</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3246</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3247</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3248</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3249</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3250</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3251</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3252</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3253</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3254</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3255</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3256</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3257</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3258</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3259</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3260</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2016-04-16T12:23:45Z</dcterms:modified>
</cp:coreProperties>
</file>